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Summary" sheetId="1" state="visible" r:id="rId1"/>
    <sheet name="Vanilla Options" sheetId="2" state="visible" r:id="rId2"/>
    <sheet name="Exotic Options" sheetId="3" state="visible" r:id="rId3"/>
    <sheet name="Structured Products" sheetId="4" state="visible" r:id="rId4"/>
    <sheet name="Fixed Income" sheetId="5" state="visible" r:id="rId5"/>
    <sheet name="Rates &amp; Derivatives" sheetId="6" state="visible" r:id="rId6"/>
    <sheet name="Credit Products" sheetId="7" state="visible" r:id="rId7"/>
    <sheet name="Volatility &amp; Market Data" sheetId="8" state="visible" r:id="rId8"/>
    <sheet name="Prepayment" sheetId="9" state="visible" r:id="rId9"/>
    <sheet name="UI-UX &amp; Access" sheetId="10" state="visible" r:id="rId10"/>
    <sheet name="Data Dictionary" sheetId="11" state="visible" r:id="rId11"/>
  </sheets>
  <definedNames>
    <definedName name="_xlnm._FilterDatabase" localSheetId="1" hidden="1">'Vanilla Options'!$A$1:$L$27</definedName>
    <definedName name="_xlnm._FilterDatabase" localSheetId="2" hidden="1">'Exotic Options'!$A$1:$L$27</definedName>
    <definedName name="_xlnm._FilterDatabase" localSheetId="3" hidden="1">'Structured Products'!$A$1:$L$28</definedName>
    <definedName name="_xlnm._FilterDatabase" localSheetId="4" hidden="1">'Fixed Income'!$A$1:$L$25</definedName>
    <definedName name="_xlnm._FilterDatabase" localSheetId="5" hidden="1">'Rates &amp; Derivatives'!$A$1:$L$27</definedName>
    <definedName name="_xlnm._FilterDatabase" localSheetId="6" hidden="1">'Credit Products'!$A$1:$L$25</definedName>
    <definedName name="_xlnm._FilterDatabase" localSheetId="7" hidden="1">'Volatility &amp; Market Data'!$A$1:$L$25</definedName>
    <definedName name="_xlnm._FilterDatabase" localSheetId="8" hidden="1">'Prepayment'!$A$1:$L$24</definedName>
    <definedName name="_xlnm._FilterDatabase" localSheetId="9" hidden="1">'UI-UX &amp; Access'!$A$1:$L$30</definedName>
    <definedName name="_xlnm._FilterDatabase" localSheetId="10" hidden="1">'Data Dictionary'!$A$1:$L$25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10" fontId="3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8" customWidth="1" min="3" max="3"/>
    <col width="14" customWidth="1" min="4" max="4"/>
    <col width="10" customWidth="1" min="5" max="5"/>
    <col width="12" customWidth="1" min="6" max="6"/>
    <col width="14" customWidth="1" min="7" max="7"/>
  </cols>
  <sheetData>
    <row r="1">
      <c r="A1" s="1" t="inlineStr">
        <is>
          <t>UAT Test Summary Dashboard</t>
        </is>
      </c>
    </row>
    <row r="2">
      <c r="A2" t="inlineStr">
        <is>
          <t>Branch Under Test: feature/gated-app-ui-redesign</t>
        </is>
      </c>
    </row>
    <row r="3">
      <c r="A3" t="inlineStr">
        <is>
          <t>Update status values in each sheet to drive dashboard totals.</t>
        </is>
      </c>
    </row>
    <row r="5">
      <c r="A5" s="2" t="inlineStr">
        <is>
          <t>Sheet</t>
        </is>
      </c>
      <c r="B5" s="3" t="inlineStr">
        <is>
          <t>Working</t>
        </is>
      </c>
      <c r="C5" s="3" t="inlineStr">
        <is>
          <t>Partially Working</t>
        </is>
      </c>
      <c r="D5" s="3" t="inlineStr">
        <is>
          <t>Not Working</t>
        </is>
      </c>
      <c r="E5" s="3" t="inlineStr">
        <is>
          <t>Bug</t>
        </is>
      </c>
      <c r="F5" s="3" t="inlineStr">
        <is>
          <t>Total Cases</t>
        </is>
      </c>
      <c r="G5" s="3" t="inlineStr">
        <is>
          <t>Completion %</t>
        </is>
      </c>
    </row>
    <row r="6">
      <c r="A6" s="4" t="inlineStr">
        <is>
          <t>Vanilla Options</t>
        </is>
      </c>
      <c r="B6" s="5">
        <f>COUNTIF('Vanilla Options'!$D:$D,"Working")</f>
        <v/>
      </c>
      <c r="C6" s="5">
        <f>COUNTIF('Vanilla Options'!$D:$D,"Partially Working")</f>
        <v/>
      </c>
      <c r="D6" s="5">
        <f>COUNTIF('Vanilla Options'!$D:$D,"Not Working")</f>
        <v/>
      </c>
      <c r="E6" s="5">
        <f>COUNTIF('Vanilla Options'!$D:$D,"Bug")</f>
        <v/>
      </c>
      <c r="F6" s="5">
        <f>SUM(B6:E6)</f>
        <v/>
      </c>
      <c r="G6" s="6">
        <f>IF(F6=0,0,(B6+C6)/F6)</f>
        <v/>
      </c>
    </row>
    <row r="7">
      <c r="A7" s="4" t="inlineStr">
        <is>
          <t>Exotic Options</t>
        </is>
      </c>
      <c r="B7" s="5">
        <f>COUNTIF('Exotic Options'!$D:$D,"Working")</f>
        <v/>
      </c>
      <c r="C7" s="5">
        <f>COUNTIF('Exotic Options'!$D:$D,"Partially Working")</f>
        <v/>
      </c>
      <c r="D7" s="5">
        <f>COUNTIF('Exotic Options'!$D:$D,"Not Working")</f>
        <v/>
      </c>
      <c r="E7" s="5">
        <f>COUNTIF('Exotic Options'!$D:$D,"Bug")</f>
        <v/>
      </c>
      <c r="F7" s="5">
        <f>SUM(B7:E7)</f>
        <v/>
      </c>
      <c r="G7" s="6">
        <f>IF(F7=0,0,(B7+C7)/F7)</f>
        <v/>
      </c>
    </row>
    <row r="8">
      <c r="A8" s="4" t="inlineStr">
        <is>
          <t>Structured Products</t>
        </is>
      </c>
      <c r="B8" s="5">
        <f>COUNTIF('Structured Products'!$D:$D,"Working")</f>
        <v/>
      </c>
      <c r="C8" s="5">
        <f>COUNTIF('Structured Products'!$D:$D,"Partially Working")</f>
        <v/>
      </c>
      <c r="D8" s="5">
        <f>COUNTIF('Structured Products'!$D:$D,"Not Working")</f>
        <v/>
      </c>
      <c r="E8" s="5">
        <f>COUNTIF('Structured Products'!$D:$D,"Bug")</f>
        <v/>
      </c>
      <c r="F8" s="5">
        <f>SUM(B8:E8)</f>
        <v/>
      </c>
      <c r="G8" s="6">
        <f>IF(F8=0,0,(B8+C8)/F8)</f>
        <v/>
      </c>
    </row>
    <row r="9">
      <c r="A9" s="4" t="inlineStr">
        <is>
          <t>Fixed Income</t>
        </is>
      </c>
      <c r="B9" s="5">
        <f>COUNTIF('Fixed Income'!$D:$D,"Working")</f>
        <v/>
      </c>
      <c r="C9" s="5">
        <f>COUNTIF('Fixed Income'!$D:$D,"Partially Working")</f>
        <v/>
      </c>
      <c r="D9" s="5">
        <f>COUNTIF('Fixed Income'!$D:$D,"Not Working")</f>
        <v/>
      </c>
      <c r="E9" s="5">
        <f>COUNTIF('Fixed Income'!$D:$D,"Bug")</f>
        <v/>
      </c>
      <c r="F9" s="5">
        <f>SUM(B9:E9)</f>
        <v/>
      </c>
      <c r="G9" s="6">
        <f>IF(F9=0,0,(B9+C9)/F9)</f>
        <v/>
      </c>
    </row>
    <row r="10">
      <c r="A10" s="4" t="inlineStr">
        <is>
          <t>Rates &amp; Derivatives</t>
        </is>
      </c>
      <c r="B10" s="5">
        <f>COUNTIF('Rates &amp; Derivatives'!$D:$D,"Working")</f>
        <v/>
      </c>
      <c r="C10" s="5">
        <f>COUNTIF('Rates &amp; Derivatives'!$D:$D,"Partially Working")</f>
        <v/>
      </c>
      <c r="D10" s="5">
        <f>COUNTIF('Rates &amp; Derivatives'!$D:$D,"Not Working")</f>
        <v/>
      </c>
      <c r="E10" s="5">
        <f>COUNTIF('Rates &amp; Derivatives'!$D:$D,"Bug")</f>
        <v/>
      </c>
      <c r="F10" s="5">
        <f>SUM(B10:E10)</f>
        <v/>
      </c>
      <c r="G10" s="6">
        <f>IF(F10=0,0,(B10+C10)/F10)</f>
        <v/>
      </c>
    </row>
    <row r="11">
      <c r="A11" s="4" t="inlineStr">
        <is>
          <t>Credit Products</t>
        </is>
      </c>
      <c r="B11" s="5">
        <f>COUNTIF('Credit Products'!$D:$D,"Working")</f>
        <v/>
      </c>
      <c r="C11" s="5">
        <f>COUNTIF('Credit Products'!$D:$D,"Partially Working")</f>
        <v/>
      </c>
      <c r="D11" s="5">
        <f>COUNTIF('Credit Products'!$D:$D,"Not Working")</f>
        <v/>
      </c>
      <c r="E11" s="5">
        <f>COUNTIF('Credit Products'!$D:$D,"Bug")</f>
        <v/>
      </c>
      <c r="F11" s="5">
        <f>SUM(B11:E11)</f>
        <v/>
      </c>
      <c r="G11" s="6">
        <f>IF(F11=0,0,(B11+C11)/F11)</f>
        <v/>
      </c>
    </row>
    <row r="12">
      <c r="A12" s="4" t="inlineStr">
        <is>
          <t>Volatility &amp; Market Data</t>
        </is>
      </c>
      <c r="B12" s="5">
        <f>COUNTIF('Volatility &amp; Market Data'!$D:$D,"Working")</f>
        <v/>
      </c>
      <c r="C12" s="5">
        <f>COUNTIF('Volatility &amp; Market Data'!$D:$D,"Partially Working")</f>
        <v/>
      </c>
      <c r="D12" s="5">
        <f>COUNTIF('Volatility &amp; Market Data'!$D:$D,"Not Working")</f>
        <v/>
      </c>
      <c r="E12" s="5">
        <f>COUNTIF('Volatility &amp; Market Data'!$D:$D,"Bug")</f>
        <v/>
      </c>
      <c r="F12" s="5">
        <f>SUM(B12:E12)</f>
        <v/>
      </c>
      <c r="G12" s="6">
        <f>IF(F12=0,0,(B12+C12)/F12)</f>
        <v/>
      </c>
    </row>
    <row r="13">
      <c r="A13" s="4" t="inlineStr">
        <is>
          <t>Prepayment</t>
        </is>
      </c>
      <c r="B13" s="5">
        <f>COUNTIF('Prepayment'!$D:$D,"Working")</f>
        <v/>
      </c>
      <c r="C13" s="5">
        <f>COUNTIF('Prepayment'!$D:$D,"Partially Working")</f>
        <v/>
      </c>
      <c r="D13" s="5">
        <f>COUNTIF('Prepayment'!$D:$D,"Not Working")</f>
        <v/>
      </c>
      <c r="E13" s="5">
        <f>COUNTIF('Prepayment'!$D:$D,"Bug")</f>
        <v/>
      </c>
      <c r="F13" s="5">
        <f>SUM(B13:E13)</f>
        <v/>
      </c>
      <c r="G13" s="6">
        <f>IF(F13=0,0,(B13+C13)/F13)</f>
        <v/>
      </c>
    </row>
    <row r="14">
      <c r="A14" s="4" t="inlineStr">
        <is>
          <t>UI-UX &amp; Access</t>
        </is>
      </c>
      <c r="B14" s="5">
        <f>COUNTIF('UI-UX &amp; Access'!$D:$D,"Working")</f>
        <v/>
      </c>
      <c r="C14" s="5">
        <f>COUNTIF('UI-UX &amp; Access'!$D:$D,"Partially Working")</f>
        <v/>
      </c>
      <c r="D14" s="5">
        <f>COUNTIF('UI-UX &amp; Access'!$D:$D,"Not Working")</f>
        <v/>
      </c>
      <c r="E14" s="5">
        <f>COUNTIF('UI-UX &amp; Access'!$D:$D,"Bug")</f>
        <v/>
      </c>
      <c r="F14" s="5">
        <f>SUM(B14:E14)</f>
        <v/>
      </c>
      <c r="G14" s="6">
        <f>IF(F14=0,0,(B14+C14)/F14)</f>
        <v/>
      </c>
    </row>
    <row r="15">
      <c r="A15" s="7" t="inlineStr">
        <is>
          <t>TOTAL</t>
        </is>
      </c>
      <c r="B15" s="8">
        <f>SUM(B6:B14)</f>
        <v/>
      </c>
      <c r="C15" s="8">
        <f>SUM(C6:C14)</f>
        <v/>
      </c>
      <c r="D15" s="8">
        <f>SUM(D6:D14)</f>
        <v/>
      </c>
      <c r="E15" s="8">
        <f>SUM(E6:E14)</f>
        <v/>
      </c>
      <c r="F15" s="8">
        <f>SUM(F6:F14)</f>
        <v/>
      </c>
      <c r="G15" s="9">
        <f>IF(F15=0,0,(B15+C15)/F15)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4" customWidth="1" min="3" max="3"/>
    <col width="24" customWidth="1" min="4" max="4"/>
    <col width="18" customWidth="1" min="5" max="5"/>
    <col width="38" customWidth="1" min="6" max="6"/>
    <col width="38" customWidth="1" min="7" max="7"/>
    <col width="40" customWidth="1" min="8" max="8"/>
    <col width="30" customWidth="1" min="9" max="9"/>
    <col width="14" customWidth="1" min="10" max="10"/>
    <col width="20" customWidth="1" min="11" max="11"/>
    <col width="20" customWidth="1" min="12" max="12"/>
  </cols>
  <sheetData>
    <row r="1">
      <c r="A1" s="10" t="inlineStr">
        <is>
          <t>Product Name</t>
        </is>
      </c>
      <c r="B1" s="10" t="inlineStr">
        <is>
          <t>Feature/Workflow Tested</t>
        </is>
      </c>
      <c r="C1" s="10" t="inlineStr">
        <is>
          <t>Test Case ID</t>
        </is>
      </c>
      <c r="D1" s="10" t="inlineStr">
        <is>
          <t>Status (Working / Partially Working / Not Working / Bug)</t>
        </is>
      </c>
      <c r="E1" s="10" t="inlineStr">
        <is>
          <t>Severity (Critical / High / Medium / Low)</t>
        </is>
      </c>
      <c r="F1" s="10" t="inlineStr">
        <is>
          <t>Expected Result</t>
        </is>
      </c>
      <c r="G1" s="10" t="inlineStr">
        <is>
          <t>Actual Result</t>
        </is>
      </c>
      <c r="H1" s="10" t="inlineStr">
        <is>
          <t>Issue Description</t>
        </is>
      </c>
      <c r="I1" s="10" t="inlineStr">
        <is>
          <t>Screenshots/Notes</t>
        </is>
      </c>
      <c r="J1" s="10" t="inlineStr">
        <is>
          <t>Date Tested</t>
        </is>
      </c>
      <c r="K1" s="10" t="inlineStr">
        <is>
          <t>Tester Name</t>
        </is>
      </c>
      <c r="L1" s="10" t="inlineStr">
        <is>
          <t>Resolution Status</t>
        </is>
      </c>
    </row>
    <row r="2">
      <c r="A2" s="4" t="inlineStr">
        <is>
          <t>European Options</t>
        </is>
      </c>
      <c r="B2" s="4" t="inlineStr">
        <is>
          <t>Free tier access preview for unauthenticated users</t>
        </is>
      </c>
      <c r="C2" s="4" t="inlineStr">
        <is>
          <t>VAN-001</t>
        </is>
      </c>
      <c r="D2" s="4" t="inlineStr"/>
      <c r="E2" s="4" t="inlineStr">
        <is>
          <t>High</t>
        </is>
      </c>
      <c r="F2" s="11" t="inlineStr">
        <is>
          <t>Unauthenticated users can preview European Options only.</t>
        </is>
      </c>
      <c r="G2" s="11" t="inlineStr"/>
      <c r="H2" s="11" t="inlineStr"/>
      <c r="I2" s="11" t="inlineStr"/>
      <c r="J2" s="12" t="inlineStr"/>
      <c r="K2" s="4" t="inlineStr"/>
      <c r="L2" s="4" t="inlineStr">
        <is>
          <t>Open</t>
        </is>
      </c>
    </row>
    <row r="3">
      <c r="A3" s="4" t="inlineStr">
        <is>
          <t>European Options</t>
        </is>
      </c>
      <c r="B3" s="4" t="inlineStr">
        <is>
          <t>Product pricing calculation</t>
        </is>
      </c>
      <c r="C3" s="4" t="inlineStr">
        <is>
          <t>VAN-002</t>
        </is>
      </c>
      <c r="D3" s="4" t="inlineStr"/>
      <c r="E3" s="4" t="inlineStr">
        <is>
          <t>Critical</t>
        </is>
      </c>
      <c r="F3" s="11" t="inlineStr">
        <is>
          <t>Pricing output is generated with valid inputs.</t>
        </is>
      </c>
      <c r="G3" s="11" t="inlineStr"/>
      <c r="H3" s="11" t="inlineStr"/>
      <c r="I3" s="11" t="inlineStr"/>
      <c r="J3" s="12" t="inlineStr"/>
      <c r="K3" s="4" t="inlineStr"/>
      <c r="L3" s="4" t="inlineStr">
        <is>
          <t>Open</t>
        </is>
      </c>
    </row>
    <row r="4">
      <c r="A4" s="4" t="inlineStr">
        <is>
          <t>American Options</t>
        </is>
      </c>
      <c r="B4" s="4" t="inlineStr">
        <is>
          <t>Gated access verification</t>
        </is>
      </c>
      <c r="C4" s="4" t="inlineStr">
        <is>
          <t>VAN-003</t>
        </is>
      </c>
      <c r="D4" s="4" t="inlineStr"/>
      <c r="E4" s="4" t="inlineStr">
        <is>
          <t>High</t>
        </is>
      </c>
      <c r="F4" s="11" t="inlineStr">
        <is>
          <t>Authenticated users can access American Options workflow.</t>
        </is>
      </c>
      <c r="G4" s="11" t="inlineStr"/>
      <c r="H4" s="11" t="inlineStr"/>
      <c r="I4" s="11" t="inlineStr"/>
      <c r="J4" s="12" t="inlineStr"/>
      <c r="K4" s="4" t="inlineStr"/>
      <c r="L4" s="4" t="inlineStr">
        <is>
          <t>Open</t>
        </is>
      </c>
    </row>
    <row r="5">
      <c r="A5" s="4" t="inlineStr">
        <is>
          <t>American Options</t>
        </is>
      </c>
      <c r="B5" s="4" t="inlineStr">
        <is>
          <t>Product pricing calculation</t>
        </is>
      </c>
      <c r="C5" s="4" t="inlineStr">
        <is>
          <t>VAN-004</t>
        </is>
      </c>
      <c r="D5" s="4" t="inlineStr"/>
      <c r="E5" s="4" t="inlineStr">
        <is>
          <t>Critical</t>
        </is>
      </c>
      <c r="F5" s="11" t="inlineStr">
        <is>
          <t>Pricing output is generated with valid inputs.</t>
        </is>
      </c>
      <c r="G5" s="11" t="inlineStr"/>
      <c r="H5" s="11" t="inlineStr"/>
      <c r="I5" s="11" t="inlineStr"/>
      <c r="J5" s="12" t="inlineStr"/>
      <c r="K5" s="4" t="inlineStr"/>
      <c r="L5" s="4" t="inlineStr">
        <is>
          <t>Open</t>
        </is>
      </c>
    </row>
    <row r="6">
      <c r="A6" s="4" t="inlineStr">
        <is>
          <t>European Options</t>
        </is>
      </c>
      <c r="B6" s="4" t="inlineStr">
        <is>
          <t>Report generation and export</t>
        </is>
      </c>
      <c r="C6" s="4" t="inlineStr">
        <is>
          <t>VAN-005</t>
        </is>
      </c>
      <c r="D6" s="4" t="inlineStr"/>
      <c r="E6" s="4" t="inlineStr">
        <is>
          <t>Medium</t>
        </is>
      </c>
      <c r="F6" s="11" t="inlineStr">
        <is>
          <t>Report exports complete successfully.</t>
        </is>
      </c>
      <c r="G6" s="11" t="inlineStr"/>
      <c r="H6" s="11" t="inlineStr"/>
      <c r="I6" s="11" t="inlineStr"/>
      <c r="J6" s="12" t="inlineStr"/>
      <c r="K6" s="4" t="inlineStr"/>
      <c r="L6" s="4" t="inlineStr">
        <is>
          <t>Open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2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2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12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2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2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2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2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2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2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2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2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2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2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2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2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2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2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2" t="n"/>
      <c r="K24" s="4" t="n"/>
      <c r="L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2" t="n"/>
      <c r="K25" s="4" t="n"/>
      <c r="L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12" t="n"/>
      <c r="K26" s="4" t="n"/>
      <c r="L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12" t="n"/>
      <c r="K27" s="4" t="n"/>
      <c r="L27" s="4" t="n"/>
    </row>
  </sheetData>
  <autoFilter ref="A1:L27"/>
  <dataValidations count="3">
    <dataValidation sqref="D2:D27" showDropDown="0" showInputMessage="0" showErrorMessage="0" allowBlank="1" type="list">
      <formula1>"Working,Partially Working,Not Working,Bug"</formula1>
    </dataValidation>
    <dataValidation sqref="E2:E27" showDropDown="0" showInputMessage="0" showErrorMessage="0" allowBlank="1" type="list">
      <formula1>"Critical,High,Medium,Low"</formula1>
    </dataValidation>
    <dataValidation sqref="L2:L27" showDropDown="0" showInputMessage="0" showErrorMessage="0" allowBlank="1" type="list">
      <formula1>"Open,In Progress,Resolved,Blocked,Deferred,N/A"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4" customWidth="1" min="3" max="3"/>
    <col width="24" customWidth="1" min="4" max="4"/>
    <col width="18" customWidth="1" min="5" max="5"/>
    <col width="38" customWidth="1" min="6" max="6"/>
    <col width="38" customWidth="1" min="7" max="7"/>
    <col width="40" customWidth="1" min="8" max="8"/>
    <col width="30" customWidth="1" min="9" max="9"/>
    <col width="14" customWidth="1" min="10" max="10"/>
    <col width="20" customWidth="1" min="11" max="11"/>
    <col width="20" customWidth="1" min="12" max="12"/>
  </cols>
  <sheetData>
    <row r="1">
      <c r="A1" s="10" t="inlineStr">
        <is>
          <t>Product Name</t>
        </is>
      </c>
      <c r="B1" s="10" t="inlineStr">
        <is>
          <t>Feature/Workflow Tested</t>
        </is>
      </c>
      <c r="C1" s="10" t="inlineStr">
        <is>
          <t>Test Case ID</t>
        </is>
      </c>
      <c r="D1" s="10" t="inlineStr">
        <is>
          <t>Status (Working / Partially Working / Not Working / Bug)</t>
        </is>
      </c>
      <c r="E1" s="10" t="inlineStr">
        <is>
          <t>Severity (Critical / High / Medium / Low)</t>
        </is>
      </c>
      <c r="F1" s="10" t="inlineStr">
        <is>
          <t>Expected Result</t>
        </is>
      </c>
      <c r="G1" s="10" t="inlineStr">
        <is>
          <t>Actual Result</t>
        </is>
      </c>
      <c r="H1" s="10" t="inlineStr">
        <is>
          <t>Issue Description</t>
        </is>
      </c>
      <c r="I1" s="10" t="inlineStr">
        <is>
          <t>Screenshots/Notes</t>
        </is>
      </c>
      <c r="J1" s="10" t="inlineStr">
        <is>
          <t>Date Tested</t>
        </is>
      </c>
      <c r="K1" s="10" t="inlineStr">
        <is>
          <t>Tester Name</t>
        </is>
      </c>
      <c r="L1" s="10" t="inlineStr">
        <is>
          <t>Resolution Status</t>
        </is>
      </c>
    </row>
    <row r="2">
      <c r="A2" s="4" t="inlineStr">
        <is>
          <t>Barrier Options</t>
        </is>
      </c>
      <c r="B2" s="4" t="inlineStr">
        <is>
          <t>Product pricing calculation</t>
        </is>
      </c>
      <c r="C2" s="4" t="inlineStr">
        <is>
          <t>EXO-001</t>
        </is>
      </c>
      <c r="D2" s="4" t="inlineStr"/>
      <c r="E2" s="4" t="inlineStr">
        <is>
          <t>Critical</t>
        </is>
      </c>
      <c r="F2" s="11" t="inlineStr">
        <is>
          <t>Barrier pricing workflow runs and returns valid result.</t>
        </is>
      </c>
      <c r="G2" s="11" t="inlineStr"/>
      <c r="H2" s="11" t="inlineStr"/>
      <c r="I2" s="11" t="inlineStr"/>
      <c r="J2" s="12" t="inlineStr"/>
      <c r="K2" s="4" t="inlineStr"/>
      <c r="L2" s="4" t="inlineStr">
        <is>
          <t>Open</t>
        </is>
      </c>
    </row>
    <row r="3">
      <c r="A3" s="4" t="inlineStr">
        <is>
          <t>Barrier Options</t>
        </is>
      </c>
      <c r="B3" s="4" t="inlineStr">
        <is>
          <t>Error handling and validation</t>
        </is>
      </c>
      <c r="C3" s="4" t="inlineStr">
        <is>
          <t>EXO-002</t>
        </is>
      </c>
      <c r="D3" s="4" t="inlineStr"/>
      <c r="E3" s="4" t="inlineStr">
        <is>
          <t>High</t>
        </is>
      </c>
      <c r="F3" s="11" t="inlineStr">
        <is>
          <t>Invalid barrier inputs show clear validation messages.</t>
        </is>
      </c>
      <c r="G3" s="11" t="inlineStr"/>
      <c r="H3" s="11" t="inlineStr"/>
      <c r="I3" s="11" t="inlineStr"/>
      <c r="J3" s="12" t="inlineStr"/>
      <c r="K3" s="4" t="inlineStr"/>
      <c r="L3" s="4" t="inlineStr">
        <is>
          <t>Open</t>
        </is>
      </c>
    </row>
    <row r="4">
      <c r="A4" s="4" t="inlineStr">
        <is>
          <t>Asian Options</t>
        </is>
      </c>
      <c r="B4" s="4" t="inlineStr">
        <is>
          <t>Monte Carlo simulation settings</t>
        </is>
      </c>
      <c r="C4" s="4" t="inlineStr">
        <is>
          <t>EXO-003</t>
        </is>
      </c>
      <c r="D4" s="4" t="inlineStr"/>
      <c r="E4" s="4" t="inlineStr">
        <is>
          <t>High</t>
        </is>
      </c>
      <c r="F4" s="11" t="inlineStr">
        <is>
          <t>Simulation settings are accepted and affect results.</t>
        </is>
      </c>
      <c r="G4" s="11" t="inlineStr"/>
      <c r="H4" s="11" t="inlineStr"/>
      <c r="I4" s="11" t="inlineStr"/>
      <c r="J4" s="12" t="inlineStr"/>
      <c r="K4" s="4" t="inlineStr"/>
      <c r="L4" s="4" t="inlineStr">
        <is>
          <t>Open</t>
        </is>
      </c>
    </row>
    <row r="5">
      <c r="A5" s="4" t="inlineStr">
        <is>
          <t>Autocallables</t>
        </is>
      </c>
      <c r="B5" s="4" t="inlineStr">
        <is>
          <t>Product pricing calculation</t>
        </is>
      </c>
      <c r="C5" s="4" t="inlineStr">
        <is>
          <t>EXO-004</t>
        </is>
      </c>
      <c r="D5" s="4" t="inlineStr"/>
      <c r="E5" s="4" t="inlineStr">
        <is>
          <t>Critical</t>
        </is>
      </c>
      <c r="F5" s="11" t="inlineStr">
        <is>
          <t>Autocallable pricing workflow returns result.</t>
        </is>
      </c>
      <c r="G5" s="11" t="inlineStr"/>
      <c r="H5" s="11" t="inlineStr"/>
      <c r="I5" s="11" t="inlineStr"/>
      <c r="J5" s="12" t="inlineStr"/>
      <c r="K5" s="4" t="inlineStr"/>
      <c r="L5" s="4" t="inlineStr">
        <is>
          <t>Open</t>
        </is>
      </c>
    </row>
    <row r="6">
      <c r="A6" s="4" t="inlineStr">
        <is>
          <t>Autocallables</t>
        </is>
      </c>
      <c r="B6" s="4" t="inlineStr">
        <is>
          <t>Report generation and export</t>
        </is>
      </c>
      <c r="C6" s="4" t="inlineStr">
        <is>
          <t>EXO-005</t>
        </is>
      </c>
      <c r="D6" s="4" t="inlineStr"/>
      <c r="E6" s="4" t="inlineStr">
        <is>
          <t>Medium</t>
        </is>
      </c>
      <c r="F6" s="11" t="inlineStr">
        <is>
          <t>Autocallable report/export functions complete.</t>
        </is>
      </c>
      <c r="G6" s="11" t="inlineStr"/>
      <c r="H6" s="11" t="inlineStr"/>
      <c r="I6" s="11" t="inlineStr"/>
      <c r="J6" s="12" t="inlineStr"/>
      <c r="K6" s="4" t="inlineStr"/>
      <c r="L6" s="4" t="inlineStr">
        <is>
          <t>Open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2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2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12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2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2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2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2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2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2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2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2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2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2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2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2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2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2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2" t="n"/>
      <c r="K24" s="4" t="n"/>
      <c r="L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2" t="n"/>
      <c r="K25" s="4" t="n"/>
      <c r="L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12" t="n"/>
      <c r="K26" s="4" t="n"/>
      <c r="L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12" t="n"/>
      <c r="K27" s="4" t="n"/>
      <c r="L27" s="4" t="n"/>
    </row>
  </sheetData>
  <autoFilter ref="A1:L27"/>
  <dataValidations count="3">
    <dataValidation sqref="D2:D27" showDropDown="0" showInputMessage="0" showErrorMessage="0" allowBlank="1" type="list">
      <formula1>"Working,Partially Working,Not Working,Bug"</formula1>
    </dataValidation>
    <dataValidation sqref="E2:E27" showDropDown="0" showInputMessage="0" showErrorMessage="0" allowBlank="1" type="list">
      <formula1>"Critical,High,Medium,Low"</formula1>
    </dataValidation>
    <dataValidation sqref="L2:L27" showDropDown="0" showInputMessage="0" showErrorMessage="0" allowBlank="1" type="list">
      <formula1>"Open,In Progress,Resolved,Blocked,Deferred,N/A"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4" customWidth="1" min="3" max="3"/>
    <col width="24" customWidth="1" min="4" max="4"/>
    <col width="18" customWidth="1" min="5" max="5"/>
    <col width="38" customWidth="1" min="6" max="6"/>
    <col width="38" customWidth="1" min="7" max="7"/>
    <col width="40" customWidth="1" min="8" max="8"/>
    <col width="30" customWidth="1" min="9" max="9"/>
    <col width="14" customWidth="1" min="10" max="10"/>
    <col width="20" customWidth="1" min="11" max="11"/>
    <col width="20" customWidth="1" min="12" max="12"/>
  </cols>
  <sheetData>
    <row r="1">
      <c r="A1" s="10" t="inlineStr">
        <is>
          <t>Product Name</t>
        </is>
      </c>
      <c r="B1" s="10" t="inlineStr">
        <is>
          <t>Feature/Workflow Tested</t>
        </is>
      </c>
      <c r="C1" s="10" t="inlineStr">
        <is>
          <t>Test Case ID</t>
        </is>
      </c>
      <c r="D1" s="10" t="inlineStr">
        <is>
          <t>Status (Working / Partially Working / Not Working / Bug)</t>
        </is>
      </c>
      <c r="E1" s="10" t="inlineStr">
        <is>
          <t>Severity (Critical / High / Medium / Low)</t>
        </is>
      </c>
      <c r="F1" s="10" t="inlineStr">
        <is>
          <t>Expected Result</t>
        </is>
      </c>
      <c r="G1" s="10" t="inlineStr">
        <is>
          <t>Actual Result</t>
        </is>
      </c>
      <c r="H1" s="10" t="inlineStr">
        <is>
          <t>Issue Description</t>
        </is>
      </c>
      <c r="I1" s="10" t="inlineStr">
        <is>
          <t>Screenshots/Notes</t>
        </is>
      </c>
      <c r="J1" s="10" t="inlineStr">
        <is>
          <t>Date Tested</t>
        </is>
      </c>
      <c r="K1" s="10" t="inlineStr">
        <is>
          <t>Tester Name</t>
        </is>
      </c>
      <c r="L1" s="10" t="inlineStr">
        <is>
          <t>Resolution Status</t>
        </is>
      </c>
    </row>
    <row r="2">
      <c r="A2" s="4" t="inlineStr">
        <is>
          <t>Barrier Reverse Convertible</t>
        </is>
      </c>
      <c r="B2" s="4" t="inlineStr">
        <is>
          <t>Workflow load and pricing execution</t>
        </is>
      </c>
      <c r="C2" s="4" t="inlineStr">
        <is>
          <t>STR-001</t>
        </is>
      </c>
      <c r="D2" s="4" t="inlineStr"/>
      <c r="E2" s="4" t="inlineStr">
        <is>
          <t>Critical</t>
        </is>
      </c>
      <c r="F2" s="11" t="inlineStr">
        <is>
          <t>Inputs load and pricing completes successfully.</t>
        </is>
      </c>
      <c r="G2" s="11" t="inlineStr"/>
      <c r="H2" s="11" t="inlineStr"/>
      <c r="I2" s="11" t="inlineStr"/>
      <c r="J2" s="12" t="inlineStr"/>
      <c r="K2" s="4" t="inlineStr"/>
      <c r="L2" s="4" t="inlineStr">
        <is>
          <t>Open</t>
        </is>
      </c>
    </row>
    <row r="3">
      <c r="A3" s="4" t="inlineStr">
        <is>
          <t>Principal-Protected Note</t>
        </is>
      </c>
      <c r="B3" s="4" t="inlineStr">
        <is>
          <t>Workflow load and pricing execution</t>
        </is>
      </c>
      <c r="C3" s="4" t="inlineStr">
        <is>
          <t>STR-002</t>
        </is>
      </c>
      <c r="D3" s="4" t="inlineStr"/>
      <c r="E3" s="4" t="inlineStr">
        <is>
          <t>Critical</t>
        </is>
      </c>
      <c r="F3" s="11" t="inlineStr">
        <is>
          <t>Inputs load and pricing completes successfully.</t>
        </is>
      </c>
      <c r="G3" s="11" t="inlineStr"/>
      <c r="H3" s="11" t="inlineStr"/>
      <c r="I3" s="11" t="inlineStr"/>
      <c r="J3" s="12" t="inlineStr"/>
      <c r="K3" s="4" t="inlineStr"/>
      <c r="L3" s="4" t="inlineStr">
        <is>
          <t>Open</t>
        </is>
      </c>
    </row>
    <row r="4">
      <c r="A4" s="4" t="inlineStr">
        <is>
          <t>Enhanced Participation Note</t>
        </is>
      </c>
      <c r="B4" s="4" t="inlineStr">
        <is>
          <t>Workflow load and pricing execution</t>
        </is>
      </c>
      <c r="C4" s="4" t="inlineStr">
        <is>
          <t>STR-003</t>
        </is>
      </c>
      <c r="D4" s="4" t="inlineStr"/>
      <c r="E4" s="4" t="inlineStr">
        <is>
          <t>Critical</t>
        </is>
      </c>
      <c r="F4" s="11" t="inlineStr">
        <is>
          <t>Inputs load and pricing completes successfully.</t>
        </is>
      </c>
      <c r="G4" s="11" t="inlineStr"/>
      <c r="H4" s="11" t="inlineStr"/>
      <c r="I4" s="11" t="inlineStr"/>
      <c r="J4" s="12" t="inlineStr"/>
      <c r="K4" s="4" t="inlineStr"/>
      <c r="L4" s="4" t="inlineStr">
        <is>
          <t>Open</t>
        </is>
      </c>
    </row>
    <row r="5">
      <c r="A5" s="4" t="inlineStr">
        <is>
          <t>Contingent Income Note</t>
        </is>
      </c>
      <c r="B5" s="4" t="inlineStr">
        <is>
          <t>Workflow load and pricing execution</t>
        </is>
      </c>
      <c r="C5" s="4" t="inlineStr">
        <is>
          <t>STR-004</t>
        </is>
      </c>
      <c r="D5" s="4" t="inlineStr"/>
      <c r="E5" s="4" t="inlineStr">
        <is>
          <t>Critical</t>
        </is>
      </c>
      <c r="F5" s="11" t="inlineStr">
        <is>
          <t>Inputs load and pricing completes successfully.</t>
        </is>
      </c>
      <c r="G5" s="11" t="inlineStr"/>
      <c r="H5" s="11" t="inlineStr"/>
      <c r="I5" s="11" t="inlineStr"/>
      <c r="J5" s="12" t="inlineStr"/>
      <c r="K5" s="4" t="inlineStr"/>
      <c r="L5" s="4" t="inlineStr">
        <is>
          <t>Open</t>
        </is>
      </c>
    </row>
    <row r="6">
      <c r="A6" s="4" t="inlineStr">
        <is>
          <t>Credit-Linked Note</t>
        </is>
      </c>
      <c r="B6" s="4" t="inlineStr">
        <is>
          <t>Workflow load and pricing execution</t>
        </is>
      </c>
      <c r="C6" s="4" t="inlineStr">
        <is>
          <t>STR-005</t>
        </is>
      </c>
      <c r="D6" s="4" t="inlineStr"/>
      <c r="E6" s="4" t="inlineStr">
        <is>
          <t>Critical</t>
        </is>
      </c>
      <c r="F6" s="11" t="inlineStr">
        <is>
          <t>Inputs load and pricing completes successfully.</t>
        </is>
      </c>
      <c r="G6" s="11" t="inlineStr"/>
      <c r="H6" s="11" t="inlineStr"/>
      <c r="I6" s="11" t="inlineStr"/>
      <c r="J6" s="12" t="inlineStr"/>
      <c r="K6" s="4" t="inlineStr"/>
      <c r="L6" s="4" t="inlineStr">
        <is>
          <t>Open</t>
        </is>
      </c>
    </row>
    <row r="7">
      <c r="A7" s="4" t="inlineStr">
        <is>
          <t>Structured Products</t>
        </is>
      </c>
      <c r="B7" s="4" t="inlineStr">
        <is>
          <t>UI consistency across products</t>
        </is>
      </c>
      <c r="C7" s="4" t="inlineStr">
        <is>
          <t>STR-006</t>
        </is>
      </c>
      <c r="D7" s="4" t="inlineStr"/>
      <c r="E7" s="4" t="inlineStr">
        <is>
          <t>Medium</t>
        </is>
      </c>
      <c r="F7" s="11" t="inlineStr">
        <is>
          <t>Layout and interactions are consistent across all structured products.</t>
        </is>
      </c>
      <c r="G7" s="11" t="inlineStr"/>
      <c r="H7" s="11" t="inlineStr"/>
      <c r="I7" s="11" t="inlineStr"/>
      <c r="J7" s="12" t="inlineStr"/>
      <c r="K7" s="4" t="inlineStr"/>
      <c r="L7" s="4" t="inlineStr">
        <is>
          <t>Open</t>
        </is>
      </c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2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12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2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2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2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2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2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2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2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2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2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2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2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2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2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2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2" t="n"/>
      <c r="K24" s="4" t="n"/>
      <c r="L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2" t="n"/>
      <c r="K25" s="4" t="n"/>
      <c r="L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12" t="n"/>
      <c r="K26" s="4" t="n"/>
      <c r="L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12" t="n"/>
      <c r="K27" s="4" t="n"/>
      <c r="L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12" t="n"/>
      <c r="K28" s="4" t="n"/>
      <c r="L28" s="4" t="n"/>
    </row>
  </sheetData>
  <autoFilter ref="A1:L28"/>
  <dataValidations count="3">
    <dataValidation sqref="D2:D28" showDropDown="0" showInputMessage="0" showErrorMessage="0" allowBlank="1" type="list">
      <formula1>"Working,Partially Working,Not Working,Bug"</formula1>
    </dataValidation>
    <dataValidation sqref="E2:E28" showDropDown="0" showInputMessage="0" showErrorMessage="0" allowBlank="1" type="list">
      <formula1>"Critical,High,Medium,Low"</formula1>
    </dataValidation>
    <dataValidation sqref="L2:L28" showDropDown="0" showInputMessage="0" showErrorMessage="0" allowBlank="1" type="list">
      <formula1>"Open,In Progress,Resolved,Blocked,Deferred,N/A"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4" customWidth="1" min="3" max="3"/>
    <col width="24" customWidth="1" min="4" max="4"/>
    <col width="18" customWidth="1" min="5" max="5"/>
    <col width="38" customWidth="1" min="6" max="6"/>
    <col width="38" customWidth="1" min="7" max="7"/>
    <col width="40" customWidth="1" min="8" max="8"/>
    <col width="30" customWidth="1" min="9" max="9"/>
    <col width="14" customWidth="1" min="10" max="10"/>
    <col width="20" customWidth="1" min="11" max="11"/>
    <col width="20" customWidth="1" min="12" max="12"/>
  </cols>
  <sheetData>
    <row r="1">
      <c r="A1" s="10" t="inlineStr">
        <is>
          <t>Product Name</t>
        </is>
      </c>
      <c r="B1" s="10" t="inlineStr">
        <is>
          <t>Feature/Workflow Tested</t>
        </is>
      </c>
      <c r="C1" s="10" t="inlineStr">
        <is>
          <t>Test Case ID</t>
        </is>
      </c>
      <c r="D1" s="10" t="inlineStr">
        <is>
          <t>Status (Working / Partially Working / Not Working / Bug)</t>
        </is>
      </c>
      <c r="E1" s="10" t="inlineStr">
        <is>
          <t>Severity (Critical / High / Medium / Low)</t>
        </is>
      </c>
      <c r="F1" s="10" t="inlineStr">
        <is>
          <t>Expected Result</t>
        </is>
      </c>
      <c r="G1" s="10" t="inlineStr">
        <is>
          <t>Actual Result</t>
        </is>
      </c>
      <c r="H1" s="10" t="inlineStr">
        <is>
          <t>Issue Description</t>
        </is>
      </c>
      <c r="I1" s="10" t="inlineStr">
        <is>
          <t>Screenshots/Notes</t>
        </is>
      </c>
      <c r="J1" s="10" t="inlineStr">
        <is>
          <t>Date Tested</t>
        </is>
      </c>
      <c r="K1" s="10" t="inlineStr">
        <is>
          <t>Tester Name</t>
        </is>
      </c>
      <c r="L1" s="10" t="inlineStr">
        <is>
          <t>Resolution Status</t>
        </is>
      </c>
    </row>
    <row r="2">
      <c r="A2" s="4" t="inlineStr">
        <is>
          <t>Bonds (Fixed/Floating)</t>
        </is>
      </c>
      <c r="B2" s="4" t="inlineStr">
        <is>
          <t>Pricing calculation and cashflow output</t>
        </is>
      </c>
      <c r="C2" s="4" t="inlineStr">
        <is>
          <t>FI-001</t>
        </is>
      </c>
      <c r="D2" s="4" t="inlineStr"/>
      <c r="E2" s="4" t="inlineStr">
        <is>
          <t>High</t>
        </is>
      </c>
      <c r="F2" s="11" t="inlineStr">
        <is>
          <t>Bond analytics are generated for fixed/floating notes.</t>
        </is>
      </c>
      <c r="G2" s="11" t="inlineStr"/>
      <c r="H2" s="11" t="inlineStr"/>
      <c r="I2" s="11" t="inlineStr"/>
      <c r="J2" s="12" t="inlineStr"/>
      <c r="K2" s="4" t="inlineStr"/>
      <c r="L2" s="4" t="inlineStr">
        <is>
          <t>Open</t>
        </is>
      </c>
    </row>
    <row r="3">
      <c r="A3" s="4" t="inlineStr">
        <is>
          <t>Bonds (Callable/Non-Callable)</t>
        </is>
      </c>
      <c r="B3" s="4" t="inlineStr">
        <is>
          <t>Callable flow and valuation behavior</t>
        </is>
      </c>
      <c r="C3" s="4" t="inlineStr">
        <is>
          <t>FI-002</t>
        </is>
      </c>
      <c r="D3" s="4" t="inlineStr"/>
      <c r="E3" s="4" t="inlineStr">
        <is>
          <t>High</t>
        </is>
      </c>
      <c r="F3" s="11" t="inlineStr">
        <is>
          <t>Callable and non-callable behavior matches selected mode.</t>
        </is>
      </c>
      <c r="G3" s="11" t="inlineStr"/>
      <c r="H3" s="11" t="inlineStr"/>
      <c r="I3" s="11" t="inlineStr"/>
      <c r="J3" s="12" t="inlineStr"/>
      <c r="K3" s="4" t="inlineStr"/>
      <c r="L3" s="4" t="inlineStr">
        <is>
          <t>Open</t>
        </is>
      </c>
    </row>
    <row r="4">
      <c r="A4" s="4" t="inlineStr">
        <is>
          <t>Fixed Income</t>
        </is>
      </c>
      <c r="B4" s="4" t="inlineStr">
        <is>
          <t>Market reference data loading</t>
        </is>
      </c>
      <c r="C4" s="4" t="inlineStr">
        <is>
          <t>FI-003</t>
        </is>
      </c>
      <c r="D4" s="4" t="inlineStr"/>
      <c r="E4" s="4" t="inlineStr">
        <is>
          <t>Medium</t>
        </is>
      </c>
      <c r="F4" s="11" t="inlineStr">
        <is>
          <t>Reference rate/curve data loads without errors.</t>
        </is>
      </c>
      <c r="G4" s="11" t="inlineStr"/>
      <c r="H4" s="11" t="inlineStr"/>
      <c r="I4" s="11" t="inlineStr"/>
      <c r="J4" s="12" t="inlineStr"/>
      <c r="K4" s="4" t="inlineStr"/>
      <c r="L4" s="4" t="inlineStr">
        <is>
          <t>Open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12" t="n"/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12" t="n"/>
      <c r="K6" s="4" t="n"/>
      <c r="L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2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2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12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2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2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2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2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2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2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2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2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2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2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2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2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2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2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2" t="n"/>
      <c r="K24" s="4" t="n"/>
      <c r="L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2" t="n"/>
      <c r="K25" s="4" t="n"/>
      <c r="L25" s="4" t="n"/>
    </row>
  </sheetData>
  <autoFilter ref="A1:L25"/>
  <dataValidations count="3">
    <dataValidation sqref="D2:D25" showDropDown="0" showInputMessage="0" showErrorMessage="0" allowBlank="1" type="list">
      <formula1>"Working,Partially Working,Not Working,Bug"</formula1>
    </dataValidation>
    <dataValidation sqref="E2:E25" showDropDown="0" showInputMessage="0" showErrorMessage="0" allowBlank="1" type="list">
      <formula1>"Critical,High,Medium,Low"</formula1>
    </dataValidation>
    <dataValidation sqref="L2:L25" showDropDown="0" showInputMessage="0" showErrorMessage="0" allowBlank="1" type="list">
      <formula1>"Open,In Progress,Resolved,Blocked,Deferred,N/A"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4" customWidth="1" min="3" max="3"/>
    <col width="24" customWidth="1" min="4" max="4"/>
    <col width="18" customWidth="1" min="5" max="5"/>
    <col width="38" customWidth="1" min="6" max="6"/>
    <col width="38" customWidth="1" min="7" max="7"/>
    <col width="40" customWidth="1" min="8" max="8"/>
    <col width="30" customWidth="1" min="9" max="9"/>
    <col width="14" customWidth="1" min="10" max="10"/>
    <col width="20" customWidth="1" min="11" max="11"/>
    <col width="20" customWidth="1" min="12" max="12"/>
  </cols>
  <sheetData>
    <row r="1">
      <c r="A1" s="10" t="inlineStr">
        <is>
          <t>Product Name</t>
        </is>
      </c>
      <c r="B1" s="10" t="inlineStr">
        <is>
          <t>Feature/Workflow Tested</t>
        </is>
      </c>
      <c r="C1" s="10" t="inlineStr">
        <is>
          <t>Test Case ID</t>
        </is>
      </c>
      <c r="D1" s="10" t="inlineStr">
        <is>
          <t>Status (Working / Partially Working / Not Working / Bug)</t>
        </is>
      </c>
      <c r="E1" s="10" t="inlineStr">
        <is>
          <t>Severity (Critical / High / Medium / Low)</t>
        </is>
      </c>
      <c r="F1" s="10" t="inlineStr">
        <is>
          <t>Expected Result</t>
        </is>
      </c>
      <c r="G1" s="10" t="inlineStr">
        <is>
          <t>Actual Result</t>
        </is>
      </c>
      <c r="H1" s="10" t="inlineStr">
        <is>
          <t>Issue Description</t>
        </is>
      </c>
      <c r="I1" s="10" t="inlineStr">
        <is>
          <t>Screenshots/Notes</t>
        </is>
      </c>
      <c r="J1" s="10" t="inlineStr">
        <is>
          <t>Date Tested</t>
        </is>
      </c>
      <c r="K1" s="10" t="inlineStr">
        <is>
          <t>Tester Name</t>
        </is>
      </c>
      <c r="L1" s="10" t="inlineStr">
        <is>
          <t>Resolution Status</t>
        </is>
      </c>
    </row>
    <row r="2">
      <c r="A2" s="4" t="inlineStr">
        <is>
          <t>Swaps</t>
        </is>
      </c>
      <c r="B2" s="4" t="inlineStr">
        <is>
          <t>Pricing and curve dependency workflow</t>
        </is>
      </c>
      <c r="C2" s="4" t="inlineStr">
        <is>
          <t>RAT-001</t>
        </is>
      </c>
      <c r="D2" s="4" t="inlineStr"/>
      <c r="E2" s="4" t="inlineStr">
        <is>
          <t>High</t>
        </is>
      </c>
      <c r="F2" s="11" t="inlineStr">
        <is>
          <t>Swap pricing runs with configured term structure inputs.</t>
        </is>
      </c>
      <c r="G2" s="11" t="inlineStr"/>
      <c r="H2" s="11" t="inlineStr"/>
      <c r="I2" s="11" t="inlineStr"/>
      <c r="J2" s="12" t="inlineStr"/>
      <c r="K2" s="4" t="inlineStr"/>
      <c r="L2" s="4" t="inlineStr">
        <is>
          <t>Open</t>
        </is>
      </c>
    </row>
    <row r="3">
      <c r="A3" s="4" t="inlineStr">
        <is>
          <t>Swaptions</t>
        </is>
      </c>
      <c r="B3" s="4" t="inlineStr">
        <is>
          <t>Pricing and model settings workflow</t>
        </is>
      </c>
      <c r="C3" s="4" t="inlineStr">
        <is>
          <t>RAT-002</t>
        </is>
      </c>
      <c r="D3" s="4" t="inlineStr"/>
      <c r="E3" s="4" t="inlineStr">
        <is>
          <t>High</t>
        </is>
      </c>
      <c r="F3" s="11" t="inlineStr">
        <is>
          <t>Swaption pricing runs with valid settings.</t>
        </is>
      </c>
      <c r="G3" s="11" t="inlineStr"/>
      <c r="H3" s="11" t="inlineStr"/>
      <c r="I3" s="11" t="inlineStr"/>
      <c r="J3" s="12" t="inlineStr"/>
      <c r="K3" s="4" t="inlineStr"/>
      <c r="L3" s="4" t="inlineStr">
        <is>
          <t>Open</t>
        </is>
      </c>
    </row>
    <row r="4">
      <c r="A4" s="4" t="inlineStr">
        <is>
          <t>Forwards</t>
        </is>
      </c>
      <c r="B4" s="4" t="inlineStr">
        <is>
          <t>Pricing workflow</t>
        </is>
      </c>
      <c r="C4" s="4" t="inlineStr">
        <is>
          <t>RAT-003</t>
        </is>
      </c>
      <c r="D4" s="4" t="inlineStr"/>
      <c r="E4" s="4" t="inlineStr">
        <is>
          <t>Medium</t>
        </is>
      </c>
      <c r="F4" s="11" t="inlineStr">
        <is>
          <t>Forward valuation returns expected output fields.</t>
        </is>
      </c>
      <c r="G4" s="11" t="inlineStr"/>
      <c r="H4" s="11" t="inlineStr"/>
      <c r="I4" s="11" t="inlineStr"/>
      <c r="J4" s="12" t="inlineStr"/>
      <c r="K4" s="4" t="inlineStr"/>
      <c r="L4" s="4" t="inlineStr">
        <is>
          <t>Open</t>
        </is>
      </c>
    </row>
    <row r="5">
      <c r="A5" s="4" t="inlineStr">
        <is>
          <t>Futures</t>
        </is>
      </c>
      <c r="B5" s="4" t="inlineStr">
        <is>
          <t>Pricing workflow</t>
        </is>
      </c>
      <c r="C5" s="4" t="inlineStr">
        <is>
          <t>RAT-004</t>
        </is>
      </c>
      <c r="D5" s="4" t="inlineStr"/>
      <c r="E5" s="4" t="inlineStr">
        <is>
          <t>Medium</t>
        </is>
      </c>
      <c r="F5" s="11" t="inlineStr">
        <is>
          <t>Futures valuation returns expected output fields.</t>
        </is>
      </c>
      <c r="G5" s="11" t="inlineStr"/>
      <c r="H5" s="11" t="inlineStr"/>
      <c r="I5" s="11" t="inlineStr"/>
      <c r="J5" s="12" t="inlineStr"/>
      <c r="K5" s="4" t="inlineStr"/>
      <c r="L5" s="4" t="inlineStr">
        <is>
          <t>Open</t>
        </is>
      </c>
    </row>
    <row r="6">
      <c r="A6" s="4" t="inlineStr">
        <is>
          <t>Term Structure</t>
        </is>
      </c>
      <c r="B6" s="4" t="inlineStr">
        <is>
          <t>Term structure construction/loading</t>
        </is>
      </c>
      <c r="C6" s="4" t="inlineStr">
        <is>
          <t>RAT-005</t>
        </is>
      </c>
      <c r="D6" s="4" t="inlineStr"/>
      <c r="E6" s="4" t="inlineStr">
        <is>
          <t>High</t>
        </is>
      </c>
      <c r="F6" s="11" t="inlineStr">
        <is>
          <t>Term structure view/configuration loads and applies correctly.</t>
        </is>
      </c>
      <c r="G6" s="11" t="inlineStr"/>
      <c r="H6" s="11" t="inlineStr"/>
      <c r="I6" s="11" t="inlineStr"/>
      <c r="J6" s="12" t="inlineStr"/>
      <c r="K6" s="4" t="inlineStr"/>
      <c r="L6" s="4" t="inlineStr">
        <is>
          <t>Open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2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2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12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2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2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2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2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2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2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2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2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2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2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2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2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2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2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2" t="n"/>
      <c r="K24" s="4" t="n"/>
      <c r="L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2" t="n"/>
      <c r="K25" s="4" t="n"/>
      <c r="L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12" t="n"/>
      <c r="K26" s="4" t="n"/>
      <c r="L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12" t="n"/>
      <c r="K27" s="4" t="n"/>
      <c r="L27" s="4" t="n"/>
    </row>
  </sheetData>
  <autoFilter ref="A1:L27"/>
  <dataValidations count="3">
    <dataValidation sqref="D2:D27" showDropDown="0" showInputMessage="0" showErrorMessage="0" allowBlank="1" type="list">
      <formula1>"Working,Partially Working,Not Working,Bug"</formula1>
    </dataValidation>
    <dataValidation sqref="E2:E27" showDropDown="0" showInputMessage="0" showErrorMessage="0" allowBlank="1" type="list">
      <formula1>"Critical,High,Medium,Low"</formula1>
    </dataValidation>
    <dataValidation sqref="L2:L27" showDropDown="0" showInputMessage="0" showErrorMessage="0" allowBlank="1" type="list">
      <formula1>"Open,In Progress,Resolved,Blocked,Deferred,N/A"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4" customWidth="1" min="3" max="3"/>
    <col width="24" customWidth="1" min="4" max="4"/>
    <col width="18" customWidth="1" min="5" max="5"/>
    <col width="38" customWidth="1" min="6" max="6"/>
    <col width="38" customWidth="1" min="7" max="7"/>
    <col width="40" customWidth="1" min="8" max="8"/>
    <col width="30" customWidth="1" min="9" max="9"/>
    <col width="14" customWidth="1" min="10" max="10"/>
    <col width="20" customWidth="1" min="11" max="11"/>
    <col width="20" customWidth="1" min="12" max="12"/>
  </cols>
  <sheetData>
    <row r="1">
      <c r="A1" s="10" t="inlineStr">
        <is>
          <t>Product Name</t>
        </is>
      </c>
      <c r="B1" s="10" t="inlineStr">
        <is>
          <t>Feature/Workflow Tested</t>
        </is>
      </c>
      <c r="C1" s="10" t="inlineStr">
        <is>
          <t>Test Case ID</t>
        </is>
      </c>
      <c r="D1" s="10" t="inlineStr">
        <is>
          <t>Status (Working / Partially Working / Not Working / Bug)</t>
        </is>
      </c>
      <c r="E1" s="10" t="inlineStr">
        <is>
          <t>Severity (Critical / High / Medium / Low)</t>
        </is>
      </c>
      <c r="F1" s="10" t="inlineStr">
        <is>
          <t>Expected Result</t>
        </is>
      </c>
      <c r="G1" s="10" t="inlineStr">
        <is>
          <t>Actual Result</t>
        </is>
      </c>
      <c r="H1" s="10" t="inlineStr">
        <is>
          <t>Issue Description</t>
        </is>
      </c>
      <c r="I1" s="10" t="inlineStr">
        <is>
          <t>Screenshots/Notes</t>
        </is>
      </c>
      <c r="J1" s="10" t="inlineStr">
        <is>
          <t>Date Tested</t>
        </is>
      </c>
      <c r="K1" s="10" t="inlineStr">
        <is>
          <t>Tester Name</t>
        </is>
      </c>
      <c r="L1" s="10" t="inlineStr">
        <is>
          <t>Resolution Status</t>
        </is>
      </c>
    </row>
    <row r="2">
      <c r="A2" s="4" t="inlineStr">
        <is>
          <t>CDS</t>
        </is>
      </c>
      <c r="B2" s="4" t="inlineStr">
        <is>
          <t>Pricing and spread workflow</t>
        </is>
      </c>
      <c r="C2" s="4" t="inlineStr">
        <is>
          <t>CRD-001</t>
        </is>
      </c>
      <c r="D2" s="4" t="inlineStr"/>
      <c r="E2" s="4" t="inlineStr">
        <is>
          <t>High</t>
        </is>
      </c>
      <c r="F2" s="11" t="inlineStr">
        <is>
          <t>CDS workflow computes expected outputs with valid data.</t>
        </is>
      </c>
      <c r="G2" s="11" t="inlineStr"/>
      <c r="H2" s="11" t="inlineStr"/>
      <c r="I2" s="11" t="inlineStr"/>
      <c r="J2" s="12" t="inlineStr"/>
      <c r="K2" s="4" t="inlineStr"/>
      <c r="L2" s="4" t="inlineStr">
        <is>
          <t>Open</t>
        </is>
      </c>
    </row>
    <row r="3">
      <c r="A3" s="4" t="inlineStr">
        <is>
          <t>CDO</t>
        </is>
      </c>
      <c r="B3" s="4" t="inlineStr">
        <is>
          <t>Workflow load and tranche handling</t>
        </is>
      </c>
      <c r="C3" s="4" t="inlineStr">
        <is>
          <t>CRD-002</t>
        </is>
      </c>
      <c r="D3" s="4" t="inlineStr"/>
      <c r="E3" s="4" t="inlineStr">
        <is>
          <t>High</t>
        </is>
      </c>
      <c r="F3" s="11" t="inlineStr">
        <is>
          <t>CDO workflow supports tranche inputs and produces outputs.</t>
        </is>
      </c>
      <c r="G3" s="11" t="inlineStr"/>
      <c r="H3" s="11" t="inlineStr"/>
      <c r="I3" s="11" t="inlineStr"/>
      <c r="J3" s="12" t="inlineStr"/>
      <c r="K3" s="4" t="inlineStr"/>
      <c r="L3" s="4" t="inlineStr">
        <is>
          <t>Open</t>
        </is>
      </c>
    </row>
    <row r="4">
      <c r="A4" s="4" t="inlineStr">
        <is>
          <t>Credit-Linked Notes</t>
        </is>
      </c>
      <c r="B4" s="4" t="inlineStr">
        <is>
          <t>Pricing and credit event assumptions</t>
        </is>
      </c>
      <c r="C4" s="4" t="inlineStr">
        <is>
          <t>CRD-003</t>
        </is>
      </c>
      <c r="D4" s="4" t="inlineStr"/>
      <c r="E4" s="4" t="inlineStr">
        <is>
          <t>High</t>
        </is>
      </c>
      <c r="F4" s="11" t="inlineStr">
        <is>
          <t>CLN workflow handles inputs and returns results.</t>
        </is>
      </c>
      <c r="G4" s="11" t="inlineStr"/>
      <c r="H4" s="11" t="inlineStr"/>
      <c r="I4" s="11" t="inlineStr"/>
      <c r="J4" s="12" t="inlineStr"/>
      <c r="K4" s="4" t="inlineStr"/>
      <c r="L4" s="4" t="inlineStr">
        <is>
          <t>Open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12" t="n"/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12" t="n"/>
      <c r="K6" s="4" t="n"/>
      <c r="L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2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2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12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2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2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2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2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2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2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2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2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2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2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2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2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2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2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2" t="n"/>
      <c r="K24" s="4" t="n"/>
      <c r="L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2" t="n"/>
      <c r="K25" s="4" t="n"/>
      <c r="L25" s="4" t="n"/>
    </row>
  </sheetData>
  <autoFilter ref="A1:L25"/>
  <dataValidations count="3">
    <dataValidation sqref="D2:D25" showDropDown="0" showInputMessage="0" showErrorMessage="0" allowBlank="1" type="list">
      <formula1>"Working,Partially Working,Not Working,Bug"</formula1>
    </dataValidation>
    <dataValidation sqref="E2:E25" showDropDown="0" showInputMessage="0" showErrorMessage="0" allowBlank="1" type="list">
      <formula1>"Critical,High,Medium,Low"</formula1>
    </dataValidation>
    <dataValidation sqref="L2:L25" showDropDown="0" showInputMessage="0" showErrorMessage="0" allowBlank="1" type="list">
      <formula1>"Open,In Progress,Resolved,Blocked,Deferred,N/A"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4" customWidth="1" min="3" max="3"/>
    <col width="24" customWidth="1" min="4" max="4"/>
    <col width="18" customWidth="1" min="5" max="5"/>
    <col width="38" customWidth="1" min="6" max="6"/>
    <col width="38" customWidth="1" min="7" max="7"/>
    <col width="40" customWidth="1" min="8" max="8"/>
    <col width="30" customWidth="1" min="9" max="9"/>
    <col width="14" customWidth="1" min="10" max="10"/>
    <col width="20" customWidth="1" min="11" max="11"/>
    <col width="20" customWidth="1" min="12" max="12"/>
  </cols>
  <sheetData>
    <row r="1">
      <c r="A1" s="10" t="inlineStr">
        <is>
          <t>Product Name</t>
        </is>
      </c>
      <c r="B1" s="10" t="inlineStr">
        <is>
          <t>Feature/Workflow Tested</t>
        </is>
      </c>
      <c r="C1" s="10" t="inlineStr">
        <is>
          <t>Test Case ID</t>
        </is>
      </c>
      <c r="D1" s="10" t="inlineStr">
        <is>
          <t>Status (Working / Partially Working / Not Working / Bug)</t>
        </is>
      </c>
      <c r="E1" s="10" t="inlineStr">
        <is>
          <t>Severity (Critical / High / Medium / Low)</t>
        </is>
      </c>
      <c r="F1" s="10" t="inlineStr">
        <is>
          <t>Expected Result</t>
        </is>
      </c>
      <c r="G1" s="10" t="inlineStr">
        <is>
          <t>Actual Result</t>
        </is>
      </c>
      <c r="H1" s="10" t="inlineStr">
        <is>
          <t>Issue Description</t>
        </is>
      </c>
      <c r="I1" s="10" t="inlineStr">
        <is>
          <t>Screenshots/Notes</t>
        </is>
      </c>
      <c r="J1" s="10" t="inlineStr">
        <is>
          <t>Date Tested</t>
        </is>
      </c>
      <c r="K1" s="10" t="inlineStr">
        <is>
          <t>Tester Name</t>
        </is>
      </c>
      <c r="L1" s="10" t="inlineStr">
        <is>
          <t>Resolution Status</t>
        </is>
      </c>
    </row>
    <row r="2">
      <c r="A2" s="4" t="inlineStr">
        <is>
          <t>Variance Swaps</t>
        </is>
      </c>
      <c r="B2" s="4" t="inlineStr">
        <is>
          <t>Pricing/model workflow</t>
        </is>
      </c>
      <c r="C2" s="4" t="inlineStr">
        <is>
          <t>VOL-001</t>
        </is>
      </c>
      <c r="D2" s="4" t="inlineStr"/>
      <c r="E2" s="4" t="inlineStr">
        <is>
          <t>High</t>
        </is>
      </c>
      <c r="F2" s="11" t="inlineStr">
        <is>
          <t>Variance swap workflow executes and returns outputs.</t>
        </is>
      </c>
      <c r="G2" s="11" t="inlineStr"/>
      <c r="H2" s="11" t="inlineStr"/>
      <c r="I2" s="11" t="inlineStr"/>
      <c r="J2" s="12" t="inlineStr"/>
      <c r="K2" s="4" t="inlineStr"/>
      <c r="L2" s="4" t="inlineStr">
        <is>
          <t>Open</t>
        </is>
      </c>
    </row>
    <row r="3">
      <c r="A3" s="4" t="inlineStr">
        <is>
          <t>Vol Surface</t>
        </is>
      </c>
      <c r="B3" s="4" t="inlineStr">
        <is>
          <t>Surface load and visualization</t>
        </is>
      </c>
      <c r="C3" s="4" t="inlineStr">
        <is>
          <t>VOL-002</t>
        </is>
      </c>
      <c r="D3" s="4" t="inlineStr"/>
      <c r="E3" s="4" t="inlineStr">
        <is>
          <t>Medium</t>
        </is>
      </c>
      <c r="F3" s="11" t="inlineStr">
        <is>
          <t>Vol surface data loads and renders correctly.</t>
        </is>
      </c>
      <c r="G3" s="11" t="inlineStr"/>
      <c r="H3" s="11" t="inlineStr"/>
      <c r="I3" s="11" t="inlineStr"/>
      <c r="J3" s="12" t="inlineStr"/>
      <c r="K3" s="4" t="inlineStr"/>
      <c r="L3" s="4" t="inlineStr">
        <is>
          <t>Open</t>
        </is>
      </c>
    </row>
    <row r="4">
      <c r="A4" s="4" t="inlineStr">
        <is>
          <t>Market Data Extraction</t>
        </is>
      </c>
      <c r="B4" s="4" t="inlineStr">
        <is>
          <t>Market reference data loading</t>
        </is>
      </c>
      <c r="C4" s="4" t="inlineStr">
        <is>
          <t>VOL-003</t>
        </is>
      </c>
      <c r="D4" s="4" t="inlineStr"/>
      <c r="E4" s="4" t="inlineStr">
        <is>
          <t>Critical</t>
        </is>
      </c>
      <c r="F4" s="11" t="inlineStr">
        <is>
          <t>Market data extraction and mapping complete without failure.</t>
        </is>
      </c>
      <c r="G4" s="11" t="inlineStr"/>
      <c r="H4" s="11" t="inlineStr"/>
      <c r="I4" s="11" t="inlineStr"/>
      <c r="J4" s="12" t="inlineStr"/>
      <c r="K4" s="4" t="inlineStr"/>
      <c r="L4" s="4" t="inlineStr">
        <is>
          <t>Open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12" t="n"/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12" t="n"/>
      <c r="K6" s="4" t="n"/>
      <c r="L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2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2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12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2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2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2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2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2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2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2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2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2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2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2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2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2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2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2" t="n"/>
      <c r="K24" s="4" t="n"/>
      <c r="L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2" t="n"/>
      <c r="K25" s="4" t="n"/>
      <c r="L25" s="4" t="n"/>
    </row>
  </sheetData>
  <autoFilter ref="A1:L25"/>
  <dataValidations count="3">
    <dataValidation sqref="D2:D25" showDropDown="0" showInputMessage="0" showErrorMessage="0" allowBlank="1" type="list">
      <formula1>"Working,Partially Working,Not Working,Bug"</formula1>
    </dataValidation>
    <dataValidation sqref="E2:E25" showDropDown="0" showInputMessage="0" showErrorMessage="0" allowBlank="1" type="list">
      <formula1>"Critical,High,Medium,Low"</formula1>
    </dataValidation>
    <dataValidation sqref="L2:L25" showDropDown="0" showInputMessage="0" showErrorMessage="0" allowBlank="1" type="list">
      <formula1>"Open,In Progress,Resolved,Blocked,Deferred,N/A"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4" customWidth="1" min="3" max="3"/>
    <col width="24" customWidth="1" min="4" max="4"/>
    <col width="18" customWidth="1" min="5" max="5"/>
    <col width="38" customWidth="1" min="6" max="6"/>
    <col width="38" customWidth="1" min="7" max="7"/>
    <col width="40" customWidth="1" min="8" max="8"/>
    <col width="30" customWidth="1" min="9" max="9"/>
    <col width="14" customWidth="1" min="10" max="10"/>
    <col width="20" customWidth="1" min="11" max="11"/>
    <col width="20" customWidth="1" min="12" max="12"/>
  </cols>
  <sheetData>
    <row r="1">
      <c r="A1" s="10" t="inlineStr">
        <is>
          <t>Product Name</t>
        </is>
      </c>
      <c r="B1" s="10" t="inlineStr">
        <is>
          <t>Feature/Workflow Tested</t>
        </is>
      </c>
      <c r="C1" s="10" t="inlineStr">
        <is>
          <t>Test Case ID</t>
        </is>
      </c>
      <c r="D1" s="10" t="inlineStr">
        <is>
          <t>Status (Working / Partially Working / Not Working / Bug)</t>
        </is>
      </c>
      <c r="E1" s="10" t="inlineStr">
        <is>
          <t>Severity (Critical / High / Medium / Low)</t>
        </is>
      </c>
      <c r="F1" s="10" t="inlineStr">
        <is>
          <t>Expected Result</t>
        </is>
      </c>
      <c r="G1" s="10" t="inlineStr">
        <is>
          <t>Actual Result</t>
        </is>
      </c>
      <c r="H1" s="10" t="inlineStr">
        <is>
          <t>Issue Description</t>
        </is>
      </c>
      <c r="I1" s="10" t="inlineStr">
        <is>
          <t>Screenshots/Notes</t>
        </is>
      </c>
      <c r="J1" s="10" t="inlineStr">
        <is>
          <t>Date Tested</t>
        </is>
      </c>
      <c r="K1" s="10" t="inlineStr">
        <is>
          <t>Tester Name</t>
        </is>
      </c>
      <c r="L1" s="10" t="inlineStr">
        <is>
          <t>Resolution Status</t>
        </is>
      </c>
    </row>
    <row r="2">
      <c r="A2" s="4" t="inlineStr">
        <is>
          <t>Prepayment Calculator</t>
        </is>
      </c>
      <c r="B2" s="4" t="inlineStr">
        <is>
          <t>Input, calculation, and results display</t>
        </is>
      </c>
      <c r="C2" s="4" t="inlineStr">
        <is>
          <t>PRE-001</t>
        </is>
      </c>
      <c r="D2" s="4" t="inlineStr"/>
      <c r="E2" s="4" t="inlineStr">
        <is>
          <t>High</t>
        </is>
      </c>
      <c r="F2" s="11" t="inlineStr">
        <is>
          <t>Calculator accepts valid inputs and displays results.</t>
        </is>
      </c>
      <c r="G2" s="11" t="inlineStr"/>
      <c r="H2" s="11" t="inlineStr"/>
      <c r="I2" s="11" t="inlineStr"/>
      <c r="J2" s="12" t="inlineStr"/>
      <c r="K2" s="4" t="inlineStr"/>
      <c r="L2" s="4" t="inlineStr">
        <is>
          <t>Open</t>
        </is>
      </c>
    </row>
    <row r="3">
      <c r="A3" s="4" t="inlineStr">
        <is>
          <t>Prepayment Model Validator</t>
        </is>
      </c>
      <c r="B3" s="4" t="inlineStr">
        <is>
          <t>Model validation workflow</t>
        </is>
      </c>
      <c r="C3" s="4" t="inlineStr">
        <is>
          <t>PRE-002</t>
        </is>
      </c>
      <c r="D3" s="4" t="inlineStr"/>
      <c r="E3" s="4" t="inlineStr">
        <is>
          <t>High</t>
        </is>
      </c>
      <c r="F3" s="11" t="inlineStr">
        <is>
          <t>Validator executes and reports model diagnostics.</t>
        </is>
      </c>
      <c r="G3" s="11" t="inlineStr"/>
      <c r="H3" s="11" t="inlineStr"/>
      <c r="I3" s="11" t="inlineStr"/>
      <c r="J3" s="12" t="inlineStr"/>
      <c r="K3" s="4" t="inlineStr"/>
      <c r="L3" s="4" t="inlineStr">
        <is>
          <t>Open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12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12" t="n"/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12" t="n"/>
      <c r="K6" s="4" t="n"/>
      <c r="L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2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2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12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2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2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2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2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2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2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2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2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2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2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2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2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2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2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2" t="n"/>
      <c r="K24" s="4" t="n"/>
      <c r="L24" s="4" t="n"/>
    </row>
  </sheetData>
  <autoFilter ref="A1:L24"/>
  <dataValidations count="3">
    <dataValidation sqref="D2:D24" showDropDown="0" showInputMessage="0" showErrorMessage="0" allowBlank="1" type="list">
      <formula1>"Working,Partially Working,Not Working,Bug"</formula1>
    </dataValidation>
    <dataValidation sqref="E2:E24" showDropDown="0" showInputMessage="0" showErrorMessage="0" allowBlank="1" type="list">
      <formula1>"Critical,High,Medium,Low"</formula1>
    </dataValidation>
    <dataValidation sqref="L2:L24" showDropDown="0" showInputMessage="0" showErrorMessage="0" allowBlank="1" type="list">
      <formula1>"Open,In Progress,Resolved,Blocked,Deferred,N/A"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4" customWidth="1" min="3" max="3"/>
    <col width="24" customWidth="1" min="4" max="4"/>
    <col width="18" customWidth="1" min="5" max="5"/>
    <col width="38" customWidth="1" min="6" max="6"/>
    <col width="38" customWidth="1" min="7" max="7"/>
    <col width="40" customWidth="1" min="8" max="8"/>
    <col width="30" customWidth="1" min="9" max="9"/>
    <col width="14" customWidth="1" min="10" max="10"/>
    <col width="20" customWidth="1" min="11" max="11"/>
    <col width="20" customWidth="1" min="12" max="12"/>
  </cols>
  <sheetData>
    <row r="1">
      <c r="A1" s="10" t="inlineStr">
        <is>
          <t>Product Name</t>
        </is>
      </c>
      <c r="B1" s="10" t="inlineStr">
        <is>
          <t>Feature/Workflow Tested</t>
        </is>
      </c>
      <c r="C1" s="10" t="inlineStr">
        <is>
          <t>Test Case ID</t>
        </is>
      </c>
      <c r="D1" s="10" t="inlineStr">
        <is>
          <t>Status (Working / Partially Working / Not Working / Bug)</t>
        </is>
      </c>
      <c r="E1" s="10" t="inlineStr">
        <is>
          <t>Severity (Critical / High / Medium / Low)</t>
        </is>
      </c>
      <c r="F1" s="10" t="inlineStr">
        <is>
          <t>Expected Result</t>
        </is>
      </c>
      <c r="G1" s="10" t="inlineStr">
        <is>
          <t>Actual Result</t>
        </is>
      </c>
      <c r="H1" s="10" t="inlineStr">
        <is>
          <t>Issue Description</t>
        </is>
      </c>
      <c r="I1" s="10" t="inlineStr">
        <is>
          <t>Screenshots/Notes</t>
        </is>
      </c>
      <c r="J1" s="10" t="inlineStr">
        <is>
          <t>Date Tested</t>
        </is>
      </c>
      <c r="K1" s="10" t="inlineStr">
        <is>
          <t>Tester Name</t>
        </is>
      </c>
      <c r="L1" s="10" t="inlineStr">
        <is>
          <t>Resolution Status</t>
        </is>
      </c>
    </row>
    <row r="2">
      <c r="A2" s="4" t="inlineStr">
        <is>
          <t>Authentication</t>
        </is>
      </c>
      <c r="B2" s="4" t="inlineStr">
        <is>
          <t>Login</t>
        </is>
      </c>
      <c r="C2" s="4" t="inlineStr">
        <is>
          <t>UIX-001</t>
        </is>
      </c>
      <c r="D2" s="4" t="inlineStr"/>
      <c r="E2" s="4" t="inlineStr">
        <is>
          <t>Critical</t>
        </is>
      </c>
      <c r="F2" s="11" t="inlineStr">
        <is>
          <t>Valid users can log in successfully.</t>
        </is>
      </c>
      <c r="G2" s="11" t="inlineStr"/>
      <c r="H2" s="11" t="inlineStr"/>
      <c r="I2" s="11" t="inlineStr"/>
      <c r="J2" s="12" t="inlineStr"/>
      <c r="K2" s="4" t="inlineStr"/>
      <c r="L2" s="4" t="inlineStr">
        <is>
          <t>Open</t>
        </is>
      </c>
    </row>
    <row r="3">
      <c r="A3" s="4" t="inlineStr">
        <is>
          <t>Authentication</t>
        </is>
      </c>
      <c r="B3" s="4" t="inlineStr">
        <is>
          <t>Registration</t>
        </is>
      </c>
      <c r="C3" s="4" t="inlineStr">
        <is>
          <t>UIX-002</t>
        </is>
      </c>
      <c r="D3" s="4" t="inlineStr"/>
      <c r="E3" s="4" t="inlineStr">
        <is>
          <t>Critical</t>
        </is>
      </c>
      <c r="F3" s="11" t="inlineStr">
        <is>
          <t>New users can register with required fields and terms acceptance.</t>
        </is>
      </c>
      <c r="G3" s="11" t="inlineStr"/>
      <c r="H3" s="11" t="inlineStr"/>
      <c r="I3" s="11" t="inlineStr"/>
      <c r="J3" s="12" t="inlineStr"/>
      <c r="K3" s="4" t="inlineStr"/>
      <c r="L3" s="4" t="inlineStr">
        <is>
          <t>Open</t>
        </is>
      </c>
    </row>
    <row r="4">
      <c r="A4" s="4" t="inlineStr">
        <is>
          <t>Authentication</t>
        </is>
      </c>
      <c r="B4" s="4" t="inlineStr">
        <is>
          <t>Terms Acceptance</t>
        </is>
      </c>
      <c r="C4" s="4" t="inlineStr">
        <is>
          <t>UIX-003</t>
        </is>
      </c>
      <c r="D4" s="4" t="inlineStr"/>
      <c r="E4" s="4" t="inlineStr">
        <is>
          <t>High</t>
        </is>
      </c>
      <c r="F4" s="11" t="inlineStr">
        <is>
          <t>Terms must be accepted before successful registration.</t>
        </is>
      </c>
      <c r="G4" s="11" t="inlineStr"/>
      <c r="H4" s="11" t="inlineStr"/>
      <c r="I4" s="11" t="inlineStr"/>
      <c r="J4" s="12" t="inlineStr"/>
      <c r="K4" s="4" t="inlineStr"/>
      <c r="L4" s="4" t="inlineStr">
        <is>
          <t>Open</t>
        </is>
      </c>
    </row>
    <row r="5">
      <c r="A5" s="4" t="inlineStr">
        <is>
          <t>Access Control</t>
        </is>
      </c>
      <c r="B5" s="4" t="inlineStr">
        <is>
          <t>Gated access verification for non-free products</t>
        </is>
      </c>
      <c r="C5" s="4" t="inlineStr">
        <is>
          <t>UIX-004</t>
        </is>
      </c>
      <c r="D5" s="4" t="inlineStr"/>
      <c r="E5" s="4" t="inlineStr">
        <is>
          <t>Critical</t>
        </is>
      </c>
      <c r="F5" s="11" t="inlineStr">
        <is>
          <t>Unauthenticated access is blocked for gated products.</t>
        </is>
      </c>
      <c r="G5" s="11" t="inlineStr"/>
      <c r="H5" s="11" t="inlineStr"/>
      <c r="I5" s="11" t="inlineStr"/>
      <c r="J5" s="12" t="inlineStr"/>
      <c r="K5" s="4" t="inlineStr"/>
      <c r="L5" s="4" t="inlineStr">
        <is>
          <t>Open</t>
        </is>
      </c>
    </row>
    <row r="6">
      <c r="A6" s="4" t="inlineStr">
        <is>
          <t>Navigation</t>
        </is>
      </c>
      <c r="B6" s="4" t="inlineStr">
        <is>
          <t>Accordion navigation structure</t>
        </is>
      </c>
      <c r="C6" s="4" t="inlineStr">
        <is>
          <t>UIX-005</t>
        </is>
      </c>
      <c r="D6" s="4" t="inlineStr"/>
      <c r="E6" s="4" t="inlineStr">
        <is>
          <t>High</t>
        </is>
      </c>
      <c r="F6" s="11" t="inlineStr">
        <is>
          <t>Accordion categories expand/collapse and route correctly.</t>
        </is>
      </c>
      <c r="G6" s="11" t="inlineStr"/>
      <c r="H6" s="11" t="inlineStr"/>
      <c r="I6" s="11" t="inlineStr"/>
      <c r="J6" s="12" t="inlineStr"/>
      <c r="K6" s="4" t="inlineStr"/>
      <c r="L6" s="4" t="inlineStr">
        <is>
          <t>Open</t>
        </is>
      </c>
    </row>
    <row r="7">
      <c r="A7" s="4" t="inlineStr">
        <is>
          <t>UI Consistency</t>
        </is>
      </c>
      <c r="B7" s="4" t="inlineStr">
        <is>
          <t>Consistency across product pages</t>
        </is>
      </c>
      <c r="C7" s="4" t="inlineStr">
        <is>
          <t>UIX-006</t>
        </is>
      </c>
      <c r="D7" s="4" t="inlineStr"/>
      <c r="E7" s="4" t="inlineStr">
        <is>
          <t>Medium</t>
        </is>
      </c>
      <c r="F7" s="11" t="inlineStr">
        <is>
          <t>Shared UI components and spacing are consistent.</t>
        </is>
      </c>
      <c r="G7" s="11" t="inlineStr"/>
      <c r="H7" s="11" t="inlineStr"/>
      <c r="I7" s="11" t="inlineStr"/>
      <c r="J7" s="12" t="inlineStr"/>
      <c r="K7" s="4" t="inlineStr"/>
      <c r="L7" s="4" t="inlineStr">
        <is>
          <t>Open</t>
        </is>
      </c>
    </row>
    <row r="8">
      <c r="A8" s="4" t="inlineStr">
        <is>
          <t>Loading States</t>
        </is>
      </c>
      <c r="B8" s="4" t="inlineStr">
        <is>
          <t>Spinners/placeholders during long operations</t>
        </is>
      </c>
      <c r="C8" s="4" t="inlineStr">
        <is>
          <t>UIX-007</t>
        </is>
      </c>
      <c r="D8" s="4" t="inlineStr"/>
      <c r="E8" s="4" t="inlineStr">
        <is>
          <t>Medium</t>
        </is>
      </c>
      <c r="F8" s="11" t="inlineStr">
        <is>
          <t>Loading states appear and clear correctly.</t>
        </is>
      </c>
      <c r="G8" s="11" t="inlineStr"/>
      <c r="H8" s="11" t="inlineStr"/>
      <c r="I8" s="11" t="inlineStr"/>
      <c r="J8" s="12" t="inlineStr"/>
      <c r="K8" s="4" t="inlineStr"/>
      <c r="L8" s="4" t="inlineStr">
        <is>
          <t>Open</t>
        </is>
      </c>
    </row>
    <row r="9">
      <c r="A9" s="4" t="inlineStr">
        <is>
          <t>Validation</t>
        </is>
      </c>
      <c r="B9" s="4" t="inlineStr">
        <is>
          <t>Error handling and input validation</t>
        </is>
      </c>
      <c r="C9" s="4" t="inlineStr">
        <is>
          <t>UIX-008</t>
        </is>
      </c>
      <c r="D9" s="4" t="inlineStr"/>
      <c r="E9" s="4" t="inlineStr">
        <is>
          <t>High</t>
        </is>
      </c>
      <c r="F9" s="11" t="inlineStr">
        <is>
          <t>Invalid inputs generate clear, non-breaking validation messages.</t>
        </is>
      </c>
      <c r="G9" s="11" t="inlineStr"/>
      <c r="H9" s="11" t="inlineStr"/>
      <c r="I9" s="11" t="inlineStr"/>
      <c r="J9" s="12" t="inlineStr"/>
      <c r="K9" s="4" t="inlineStr"/>
      <c r="L9" s="4" t="inlineStr">
        <is>
          <t>Open</t>
        </is>
      </c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2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2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2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2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2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2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2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2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2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2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2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2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2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2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2" t="n"/>
      <c r="K24" s="4" t="n"/>
      <c r="L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2" t="n"/>
      <c r="K25" s="4" t="n"/>
      <c r="L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12" t="n"/>
      <c r="K26" s="4" t="n"/>
      <c r="L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12" t="n"/>
      <c r="K27" s="4" t="n"/>
      <c r="L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12" t="n"/>
      <c r="K28" s="4" t="n"/>
      <c r="L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12" t="n"/>
      <c r="K29" s="4" t="n"/>
      <c r="L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12" t="n"/>
      <c r="K30" s="4" t="n"/>
      <c r="L30" s="4" t="n"/>
    </row>
  </sheetData>
  <autoFilter ref="A1:L30"/>
  <dataValidations count="3">
    <dataValidation sqref="D2:D30" showDropDown="0" showInputMessage="0" showErrorMessage="0" allowBlank="1" type="list">
      <formula1>"Working,Partially Working,Not Working,Bug"</formula1>
    </dataValidation>
    <dataValidation sqref="E2:E30" showDropDown="0" showInputMessage="0" showErrorMessage="0" allowBlank="1" type="list">
      <formula1>"Critical,High,Medium,Low"</formula1>
    </dataValidation>
    <dataValidation sqref="L2:L30" showDropDown="0" showInputMessage="0" showErrorMessage="0" allowBlank="1" type="list">
      <formula1>"Open,In Progress,Resolved,Blocked,Deferred,N/A"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14" customWidth="1" min="3" max="3"/>
    <col width="24" customWidth="1" min="4" max="4"/>
    <col width="18" customWidth="1" min="5" max="5"/>
    <col width="38" customWidth="1" min="6" max="6"/>
    <col width="38" customWidth="1" min="7" max="7"/>
    <col width="40" customWidth="1" min="8" max="8"/>
    <col width="30" customWidth="1" min="9" max="9"/>
    <col width="14" customWidth="1" min="10" max="10"/>
    <col width="20" customWidth="1" min="11" max="11"/>
    <col width="20" customWidth="1" min="12" max="12"/>
  </cols>
  <sheetData>
    <row r="1">
      <c r="A1" s="10" t="inlineStr">
        <is>
          <t>Product Name</t>
        </is>
      </c>
      <c r="B1" s="10" t="inlineStr">
        <is>
          <t>Feature/Workflow Tested</t>
        </is>
      </c>
      <c r="C1" s="10" t="inlineStr">
        <is>
          <t>Test Case ID</t>
        </is>
      </c>
      <c r="D1" s="10" t="inlineStr">
        <is>
          <t>Status (Working / Partially Working / Not Working / Bug)</t>
        </is>
      </c>
      <c r="E1" s="10" t="inlineStr">
        <is>
          <t>Severity (Critical / High / Medium / Low)</t>
        </is>
      </c>
      <c r="F1" s="10" t="inlineStr">
        <is>
          <t>Expected Result</t>
        </is>
      </c>
      <c r="G1" s="10" t="inlineStr">
        <is>
          <t>Actual Result</t>
        </is>
      </c>
      <c r="H1" s="10" t="inlineStr">
        <is>
          <t>Issue Description</t>
        </is>
      </c>
      <c r="I1" s="10" t="inlineStr">
        <is>
          <t>Screenshots/Notes</t>
        </is>
      </c>
      <c r="J1" s="10" t="inlineStr">
        <is>
          <t>Date Tested</t>
        </is>
      </c>
      <c r="K1" s="10" t="inlineStr">
        <is>
          <t>Tester Name</t>
        </is>
      </c>
      <c r="L1" s="10" t="inlineStr">
        <is>
          <t>Resolution Status</t>
        </is>
      </c>
    </row>
    <row r="2">
      <c r="A2" s="4" t="inlineStr">
        <is>
          <t>Status</t>
        </is>
      </c>
      <c r="B2" s="4" t="inlineStr">
        <is>
          <t>Allowed values</t>
        </is>
      </c>
      <c r="C2" s="4" t="inlineStr">
        <is>
          <t>DICT-001</t>
        </is>
      </c>
      <c r="D2" s="4" t="inlineStr">
        <is>
          <t>N/A</t>
        </is>
      </c>
      <c r="E2" s="4" t="inlineStr">
        <is>
          <t>Low</t>
        </is>
      </c>
      <c r="F2" s="11" t="inlineStr">
        <is>
          <t>Status values are standardized.</t>
        </is>
      </c>
      <c r="G2" s="11" t="inlineStr">
        <is>
          <t>Working | Partially Working | Not Working | Bug</t>
        </is>
      </c>
      <c r="H2" s="11" t="inlineStr"/>
      <c r="I2" s="11" t="inlineStr">
        <is>
          <t>Reference row</t>
        </is>
      </c>
      <c r="J2" s="12" t="inlineStr">
        <is>
          <t>2026-08-07</t>
        </is>
      </c>
      <c r="K2" s="4" t="inlineStr"/>
      <c r="L2" s="4" t="inlineStr">
        <is>
          <t>N/A</t>
        </is>
      </c>
    </row>
    <row r="3">
      <c r="A3" s="4" t="inlineStr">
        <is>
          <t>Severity</t>
        </is>
      </c>
      <c r="B3" s="4" t="inlineStr">
        <is>
          <t>Allowed values</t>
        </is>
      </c>
      <c r="C3" s="4" t="inlineStr">
        <is>
          <t>DICT-002</t>
        </is>
      </c>
      <c r="D3" s="4" t="inlineStr">
        <is>
          <t>N/A</t>
        </is>
      </c>
      <c r="E3" s="4" t="inlineStr">
        <is>
          <t>Low</t>
        </is>
      </c>
      <c r="F3" s="11" t="inlineStr">
        <is>
          <t>Severity values are standardized.</t>
        </is>
      </c>
      <c r="G3" s="11" t="inlineStr">
        <is>
          <t>Critical | High | Medium | Low</t>
        </is>
      </c>
      <c r="H3" s="11" t="inlineStr"/>
      <c r="I3" s="11" t="inlineStr">
        <is>
          <t>Reference row</t>
        </is>
      </c>
      <c r="J3" s="12" t="inlineStr">
        <is>
          <t>2026-08-07</t>
        </is>
      </c>
      <c r="K3" s="4" t="inlineStr"/>
      <c r="L3" s="4" t="inlineStr">
        <is>
          <t>N/A</t>
        </is>
      </c>
    </row>
    <row r="4">
      <c r="A4" s="4" t="inlineStr">
        <is>
          <t>Resolution Status</t>
        </is>
      </c>
      <c r="B4" s="4" t="inlineStr">
        <is>
          <t>Allowed values</t>
        </is>
      </c>
      <c r="C4" s="4" t="inlineStr">
        <is>
          <t>DICT-003</t>
        </is>
      </c>
      <c r="D4" s="4" t="inlineStr">
        <is>
          <t>N/A</t>
        </is>
      </c>
      <c r="E4" s="4" t="inlineStr">
        <is>
          <t>Low</t>
        </is>
      </c>
      <c r="F4" s="11" t="inlineStr">
        <is>
          <t>Resolution values are standardized.</t>
        </is>
      </c>
      <c r="G4" s="11" t="inlineStr">
        <is>
          <t>Open | In Progress | Resolved | Blocked | Deferred | N/A</t>
        </is>
      </c>
      <c r="H4" s="11" t="inlineStr"/>
      <c r="I4" s="11" t="inlineStr">
        <is>
          <t>Reference row</t>
        </is>
      </c>
      <c r="J4" s="12" t="inlineStr">
        <is>
          <t>2026-08-07</t>
        </is>
      </c>
      <c r="K4" s="4" t="inlineStr"/>
      <c r="L4" s="4" t="inlineStr">
        <is>
          <t>N/A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12" t="n"/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12" t="n"/>
      <c r="K6" s="4" t="n"/>
      <c r="L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2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2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12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12" t="n"/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12" t="n"/>
      <c r="K11" s="4" t="n"/>
      <c r="L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12" t="n"/>
      <c r="K12" s="4" t="n"/>
      <c r="L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12" t="n"/>
      <c r="K13" s="4" t="n"/>
      <c r="L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12" t="n"/>
      <c r="K14" s="4" t="n"/>
      <c r="L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12" t="n"/>
      <c r="K15" s="4" t="n"/>
      <c r="L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12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12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12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12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12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12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12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12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12" t="n"/>
      <c r="K24" s="4" t="n"/>
      <c r="L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12" t="n"/>
      <c r="K25" s="4" t="n"/>
      <c r="L25" s="4" t="n"/>
    </row>
  </sheetData>
  <autoFilter ref="A1:L25"/>
  <dataValidations count="3">
    <dataValidation sqref="D2:D25" showDropDown="0" showInputMessage="0" showErrorMessage="0" allowBlank="1" type="list">
      <formula1>"Working,Partially Working,Not Working,Bug"</formula1>
    </dataValidation>
    <dataValidation sqref="E2:E25" showDropDown="0" showInputMessage="0" showErrorMessage="0" allowBlank="1" type="list">
      <formula1>"Critical,High,Medium,Low"</formula1>
    </dataValidation>
    <dataValidation sqref="L2:L25" showDropDown="0" showInputMessage="0" showErrorMessage="0" allowBlank="1" type="list">
      <formula1>"Open,In Progress,Resolved,Blocked,Deferred,N/A"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2026-08-07T09:33:13Z</dcterms:created>
  <dcterms:modified xsi:type="dcterms:W3CDTF">2026-08-07T09:33:13Z</dcterms:modified>
</cp:coreProperties>
</file>