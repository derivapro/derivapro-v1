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AT Testing" sheetId="1" state="visible" r:id="rId1"/>
    <sheet name="Summary" sheetId="2" state="visible" r:id="rId2"/>
  </sheets>
  <definedNames>
    <definedName name="_xlnm._FilterDatabase" localSheetId="0" hidden="1">'UAT Testing'!$A$1:$J$1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4"/>
    </font>
    <font>
      <i val="1"/>
      <color rgb="00595959"/>
      <sz val="10"/>
    </font>
    <font>
      <b val="1"/>
      <color rgb="00276221"/>
      <sz val="11"/>
    </font>
    <font>
      <b val="1"/>
      <color rgb="009C6500"/>
      <sz val="11"/>
    </font>
    <font>
      <b val="1"/>
      <color rgb="009C0006"/>
      <sz val="11"/>
    </font>
    <font>
      <b val="1"/>
      <color rgb="00595959"/>
      <sz val="11"/>
    </font>
    <font>
      <b val="1"/>
      <sz val="11"/>
    </font>
    <font>
      <b val="1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center"/>
    </xf>
    <xf numFmtId="0" fontId="8" fillId="10" borderId="1" pivotButton="0" quotePrefix="0" xfId="0"/>
    <xf numFmtId="0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20" customWidth="1" min="3" max="3"/>
    <col width="12" customWidth="1" min="4" max="4"/>
    <col width="40" customWidth="1" min="5" max="5"/>
    <col width="42" customWidth="1" min="6" max="6"/>
    <col width="42" customWidth="1" min="7" max="7"/>
    <col width="28" customWidth="1" min="8" max="8"/>
    <col width="14" customWidth="1" min="9" max="9"/>
    <col width="18" customWidth="1" min="10" max="10"/>
  </cols>
  <sheetData>
    <row r="1" ht="32" customHeight="1">
      <c r="A1" s="1" t="inlineStr">
        <is>
          <t>Product Name</t>
        </is>
      </c>
      <c r="B1" s="1" t="inlineStr">
        <is>
          <t>Feature/Workflow Tested</t>
        </is>
      </c>
      <c r="C1" s="1" t="inlineStr">
        <is>
          <t>Status</t>
        </is>
      </c>
      <c r="D1" s="1" t="inlineStr">
        <is>
          <t>Severity</t>
        </is>
      </c>
      <c r="E1" s="1" t="inlineStr">
        <is>
          <t>Issue Description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Screenshots/Notes</t>
        </is>
      </c>
      <c r="I1" s="1" t="inlineStr">
        <is>
          <t>Date Tested</t>
        </is>
      </c>
      <c r="J1" s="1" t="inlineStr">
        <is>
          <t>Tester Name</t>
        </is>
      </c>
    </row>
    <row r="2" ht="22" customHeight="1">
      <c r="A2" s="2" t="inlineStr">
        <is>
          <t>Authentication</t>
        </is>
      </c>
      <c r="B2" s="2" t="inlineStr">
        <is>
          <t>User Registration</t>
        </is>
      </c>
      <c r="C2" s="2" t="inlineStr"/>
      <c r="D2" s="2" t="inlineStr"/>
      <c r="E2" s="2" t="inlineStr"/>
      <c r="F2" s="2" t="inlineStr">
        <is>
          <t>New user can register with full name, email, org &amp; accept terms</t>
        </is>
      </c>
      <c r="G2" s="2" t="inlineStr"/>
      <c r="H2" s="2" t="inlineStr">
        <is>
          <t>Check all fields are required</t>
        </is>
      </c>
      <c r="I2" s="2" t="inlineStr">
        <is>
          <t>07/08/2026</t>
        </is>
      </c>
      <c r="J2" s="2" t="inlineStr"/>
    </row>
    <row r="3" ht="22" customHeight="1">
      <c r="A3" s="3" t="inlineStr">
        <is>
          <t>Authentication</t>
        </is>
      </c>
      <c r="B3" s="3" t="inlineStr">
        <is>
          <t>Login / Logout</t>
        </is>
      </c>
      <c r="C3" s="3" t="inlineStr"/>
      <c r="D3" s="3" t="inlineStr"/>
      <c r="E3" s="3" t="inlineStr"/>
      <c r="F3" s="3" t="inlineStr">
        <is>
          <t>Registered user can log in and out successfully</t>
        </is>
      </c>
      <c r="G3" s="3" t="inlineStr"/>
      <c r="H3" s="3" t="inlineStr"/>
      <c r="I3" s="3" t="inlineStr">
        <is>
          <t>07/08/2026</t>
        </is>
      </c>
      <c r="J3" s="3" t="inlineStr"/>
    </row>
    <row r="4" ht="22" customHeight="1">
      <c r="A4" s="2" t="inlineStr">
        <is>
          <t>Authentication</t>
        </is>
      </c>
      <c r="B4" s="2" t="inlineStr">
        <is>
          <t>Gated Access – Redirect</t>
        </is>
      </c>
      <c r="C4" s="2" t="inlineStr"/>
      <c r="D4" s="2" t="inlineStr"/>
      <c r="E4" s="2" t="inlineStr"/>
      <c r="F4" s="2" t="inlineStr">
        <is>
          <t>Unauthenticated user accessing paid product is redirected to login</t>
        </is>
      </c>
      <c r="G4" s="2" t="inlineStr"/>
      <c r="H4" s="2" t="inlineStr"/>
      <c r="I4" s="2" t="inlineStr">
        <is>
          <t>07/08/2026</t>
        </is>
      </c>
      <c r="J4" s="2" t="inlineStr"/>
    </row>
    <row r="5" ht="22" customHeight="1">
      <c r="A5" s="3" t="inlineStr">
        <is>
          <t>Authentication</t>
        </is>
      </c>
      <c r="B5" s="3" t="inlineStr">
        <is>
          <t>Terms &amp; Conditions acceptance</t>
        </is>
      </c>
      <c r="C5" s="3" t="inlineStr"/>
      <c r="D5" s="3" t="inlineStr"/>
      <c r="E5" s="3" t="inlineStr"/>
      <c r="F5" s="3" t="inlineStr">
        <is>
          <t>Registration blocked unless T&amp;C checkbox is ticked</t>
        </is>
      </c>
      <c r="G5" s="3" t="inlineStr"/>
      <c r="H5" s="3" t="inlineStr"/>
      <c r="I5" s="3" t="inlineStr">
        <is>
          <t>07/08/2026</t>
        </is>
      </c>
      <c r="J5" s="3" t="inlineStr"/>
    </row>
    <row r="6" ht="22" customHeight="1">
      <c r="A6" s="2" t="inlineStr">
        <is>
          <t>Navigation</t>
        </is>
      </c>
      <c r="B6" s="2" t="inlineStr">
        <is>
          <t>Accordion menu expand/collapse</t>
        </is>
      </c>
      <c r="C6" s="2" t="inlineStr"/>
      <c r="D6" s="2" t="inlineStr"/>
      <c r="E6" s="2" t="inlineStr"/>
      <c r="F6" s="2" t="inlineStr">
        <is>
          <t>Sidebar accordion opens/closes each product category</t>
        </is>
      </c>
      <c r="G6" s="2" t="inlineStr"/>
      <c r="H6" s="2" t="inlineStr"/>
      <c r="I6" s="2" t="inlineStr">
        <is>
          <t>07/08/2026</t>
        </is>
      </c>
      <c r="J6" s="2" t="inlineStr"/>
    </row>
    <row r="7" ht="22" customHeight="1">
      <c r="A7" s="3" t="inlineStr">
        <is>
          <t>Navigation</t>
        </is>
      </c>
      <c r="B7" s="3" t="inlineStr">
        <is>
          <t>Active page highlight</t>
        </is>
      </c>
      <c r="C7" s="3" t="inlineStr"/>
      <c r="D7" s="3" t="inlineStr"/>
      <c r="E7" s="3" t="inlineStr"/>
      <c r="F7" s="3" t="inlineStr">
        <is>
          <t>Current page item is visually highlighted in the nav</t>
        </is>
      </c>
      <c r="G7" s="3" t="inlineStr"/>
      <c r="H7" s="3" t="inlineStr"/>
      <c r="I7" s="3" t="inlineStr">
        <is>
          <t>07/08/2026</t>
        </is>
      </c>
      <c r="J7" s="3" t="inlineStr"/>
    </row>
    <row r="8" ht="22" customHeight="1">
      <c r="A8" s="2" t="inlineStr">
        <is>
          <t>Navigation</t>
        </is>
      </c>
      <c r="B8" s="2" t="inlineStr">
        <is>
          <t>Mobile responsiveness</t>
        </is>
      </c>
      <c r="C8" s="2" t="inlineStr"/>
      <c r="D8" s="2" t="inlineStr"/>
      <c r="E8" s="2" t="inlineStr"/>
      <c r="F8" s="2" t="inlineStr">
        <is>
          <t>Nav collapses to hamburger on mobile viewport</t>
        </is>
      </c>
      <c r="G8" s="2" t="inlineStr"/>
      <c r="H8" s="2" t="inlineStr"/>
      <c r="I8" s="2" t="inlineStr">
        <is>
          <t>07/08/2026</t>
        </is>
      </c>
      <c r="J8" s="2" t="inlineStr"/>
    </row>
    <row r="9" ht="22" customHeight="1">
      <c r="A9" s="3" t="inlineStr">
        <is>
          <t>European Options</t>
        </is>
      </c>
      <c r="B9" s="3" t="inlineStr">
        <is>
          <t>Free preview access (unauthenticated)</t>
        </is>
      </c>
      <c r="C9" s="3" t="inlineStr"/>
      <c r="D9" s="3" t="inlineStr"/>
      <c r="E9" s="3" t="inlineStr"/>
      <c r="F9" s="3" t="inlineStr">
        <is>
          <t>Page loads without login; pricing calculator visible</t>
        </is>
      </c>
      <c r="G9" s="3" t="inlineStr"/>
      <c r="H9" s="3" t="inlineStr">
        <is>
          <t>Should be accessible to all</t>
        </is>
      </c>
      <c r="I9" s="3" t="inlineStr">
        <is>
          <t>07/08/2026</t>
        </is>
      </c>
      <c r="J9" s="3" t="inlineStr"/>
    </row>
    <row r="10" ht="22" customHeight="1">
      <c r="A10" s="2" t="inlineStr">
        <is>
          <t>European Options</t>
        </is>
      </c>
      <c r="B10" s="2" t="inlineStr">
        <is>
          <t>Black-Scholes pricing</t>
        </is>
      </c>
      <c r="C10" s="2" t="inlineStr"/>
      <c r="D10" s="2" t="inlineStr"/>
      <c r="E10" s="2" t="inlineStr"/>
      <c r="F10" s="2" t="inlineStr">
        <is>
          <t>Call &amp; put prices calculate correctly for given S, K, T, r, σ</t>
        </is>
      </c>
      <c r="G10" s="2" t="inlineStr"/>
      <c r="H10" s="2" t="inlineStr">
        <is>
          <t>Test with S=100, K=100, T=1, r=5%, σ=20%</t>
        </is>
      </c>
      <c r="I10" s="2" t="inlineStr">
        <is>
          <t>07/08/2026</t>
        </is>
      </c>
      <c r="J10" s="2" t="inlineStr"/>
    </row>
    <row r="11" ht="22" customHeight="1">
      <c r="A11" s="3" t="inlineStr">
        <is>
          <t>European Options</t>
        </is>
      </c>
      <c r="B11" s="3" t="inlineStr">
        <is>
          <t>Greeks display (Delta, Gamma, Vega, Theta, Rho)</t>
        </is>
      </c>
      <c r="C11" s="3" t="inlineStr"/>
      <c r="D11" s="3" t="inlineStr"/>
      <c r="E11" s="3" t="inlineStr"/>
      <c r="F11" s="3" t="inlineStr">
        <is>
          <t>All Greeks computed and displayed for a valid input set</t>
        </is>
      </c>
      <c r="G11" s="3" t="inlineStr"/>
      <c r="H11" s="3" t="inlineStr"/>
      <c r="I11" s="3" t="inlineStr">
        <is>
          <t>07/08/2026</t>
        </is>
      </c>
      <c r="J11" s="3" t="inlineStr"/>
    </row>
    <row r="12" ht="22" customHeight="1">
      <c r="A12" s="2" t="inlineStr">
        <is>
          <t>European Options</t>
        </is>
      </c>
      <c r="B12" s="2" t="inlineStr">
        <is>
          <t>Input validation</t>
        </is>
      </c>
      <c r="C12" s="2" t="inlineStr"/>
      <c r="D12" s="2" t="inlineStr"/>
      <c r="E12" s="2" t="inlineStr"/>
      <c r="F12" s="2" t="inlineStr">
        <is>
          <t>Negative spot / volatility shows an error message</t>
        </is>
      </c>
      <c r="G12" s="2" t="inlineStr"/>
      <c r="H12" s="2" t="inlineStr"/>
      <c r="I12" s="2" t="inlineStr">
        <is>
          <t>07/08/2026</t>
        </is>
      </c>
      <c r="J12" s="2" t="inlineStr"/>
    </row>
    <row r="13" ht="22" customHeight="1">
      <c r="A13" s="3" t="inlineStr">
        <is>
          <t>American Options</t>
        </is>
      </c>
      <c r="B13" s="3" t="inlineStr">
        <is>
          <t>Gated access (login required)</t>
        </is>
      </c>
      <c r="C13" s="3" t="inlineStr"/>
      <c r="D13" s="3" t="inlineStr"/>
      <c r="E13" s="3" t="inlineStr"/>
      <c r="F13" s="3" t="inlineStr">
        <is>
          <t>Redirected to login if not authenticated</t>
        </is>
      </c>
      <c r="G13" s="3" t="inlineStr"/>
      <c r="H13" s="3" t="inlineStr"/>
      <c r="I13" s="3" t="inlineStr">
        <is>
          <t>07/08/2026</t>
        </is>
      </c>
      <c r="J13" s="3" t="inlineStr"/>
    </row>
    <row r="14" ht="22" customHeight="1">
      <c r="A14" s="2" t="inlineStr">
        <is>
          <t>American Options</t>
        </is>
      </c>
      <c r="B14" s="2" t="inlineStr">
        <is>
          <t>Binomial tree pricing</t>
        </is>
      </c>
      <c r="C14" s="2" t="inlineStr"/>
      <c r="D14" s="2" t="inlineStr"/>
      <c r="E14" s="2" t="inlineStr"/>
      <c r="F14" s="2" t="inlineStr">
        <is>
          <t>American call/put prices calculated with early-exercise premium</t>
        </is>
      </c>
      <c r="G14" s="2" t="inlineStr"/>
      <c r="H14" s="2" t="inlineStr"/>
      <c r="I14" s="2" t="inlineStr">
        <is>
          <t>07/08/2026</t>
        </is>
      </c>
      <c r="J14" s="2" t="inlineStr"/>
    </row>
    <row r="15" ht="22" customHeight="1">
      <c r="A15" s="3" t="inlineStr">
        <is>
          <t>American Options</t>
        </is>
      </c>
      <c r="B15" s="3" t="inlineStr">
        <is>
          <t>Early exercise flag</t>
        </is>
      </c>
      <c r="C15" s="3" t="inlineStr"/>
      <c r="D15" s="3" t="inlineStr"/>
      <c r="E15" s="3" t="inlineStr"/>
      <c r="F15" s="3" t="inlineStr">
        <is>
          <t>Early exercise indicator appears when intrinsic &gt; continuation value</t>
        </is>
      </c>
      <c r="G15" s="3" t="inlineStr"/>
      <c r="H15" s="3" t="inlineStr"/>
      <c r="I15" s="3" t="inlineStr">
        <is>
          <t>07/08/2026</t>
        </is>
      </c>
      <c r="J15" s="3" t="inlineStr"/>
    </row>
    <row r="16" ht="22" customHeight="1">
      <c r="A16" s="2" t="inlineStr">
        <is>
          <t>Barrier Options</t>
        </is>
      </c>
      <c r="B16" s="2" t="inlineStr">
        <is>
          <t>Gated access</t>
        </is>
      </c>
      <c r="C16" s="2" t="inlineStr"/>
      <c r="D16" s="2" t="inlineStr"/>
      <c r="E16" s="2" t="inlineStr"/>
      <c r="F16" s="2" t="inlineStr">
        <is>
          <t>Login required to access</t>
        </is>
      </c>
      <c r="G16" s="2" t="inlineStr"/>
      <c r="H16" s="2" t="inlineStr"/>
      <c r="I16" s="2" t="inlineStr">
        <is>
          <t>07/08/2026</t>
        </is>
      </c>
      <c r="J16" s="2" t="inlineStr"/>
    </row>
    <row r="17" ht="22" customHeight="1">
      <c r="A17" s="3" t="inlineStr">
        <is>
          <t>Barrier Options</t>
        </is>
      </c>
      <c r="B17" s="3" t="inlineStr">
        <is>
          <t>Up-and-Out Call pricing</t>
        </is>
      </c>
      <c r="C17" s="3" t="inlineStr"/>
      <c r="D17" s="3" t="inlineStr"/>
      <c r="E17" s="3" t="inlineStr"/>
      <c r="F17" s="3" t="inlineStr">
        <is>
          <t>Price goes to zero when spot breaches upper barrier</t>
        </is>
      </c>
      <c r="G17" s="3" t="inlineStr"/>
      <c r="H17" s="3" t="inlineStr"/>
      <c r="I17" s="3" t="inlineStr">
        <is>
          <t>07/08/2026</t>
        </is>
      </c>
      <c r="J17" s="3" t="inlineStr"/>
    </row>
    <row r="18" ht="22" customHeight="1">
      <c r="A18" s="2" t="inlineStr">
        <is>
          <t>Barrier Options</t>
        </is>
      </c>
      <c r="B18" s="2" t="inlineStr">
        <is>
          <t>Down-and-In Put pricing</t>
        </is>
      </c>
      <c r="C18" s="2" t="inlineStr"/>
      <c r="D18" s="2" t="inlineStr"/>
      <c r="E18" s="2" t="inlineStr"/>
      <c r="F18" s="2" t="inlineStr">
        <is>
          <t>Option activates only once spot breaches lower barrier</t>
        </is>
      </c>
      <c r="G18" s="2" t="inlineStr"/>
      <c r="H18" s="2" t="inlineStr"/>
      <c r="I18" s="2" t="inlineStr">
        <is>
          <t>07/08/2026</t>
        </is>
      </c>
      <c r="J18" s="2" t="inlineStr"/>
    </row>
    <row r="19" ht="22" customHeight="1">
      <c r="A19" s="3" t="inlineStr">
        <is>
          <t>Barrier Options</t>
        </is>
      </c>
      <c r="B19" s="3" t="inlineStr">
        <is>
          <t>Barrier breach visualisation</t>
        </is>
      </c>
      <c r="C19" s="3" t="inlineStr"/>
      <c r="D19" s="3" t="inlineStr"/>
      <c r="E19" s="3" t="inlineStr"/>
      <c r="F19" s="3" t="inlineStr">
        <is>
          <t>Chart shows barrier level and spot path</t>
        </is>
      </c>
      <c r="G19" s="3" t="inlineStr"/>
      <c r="H19" s="3" t="inlineStr"/>
      <c r="I19" s="3" t="inlineStr">
        <is>
          <t>07/08/2026</t>
        </is>
      </c>
      <c r="J19" s="3" t="inlineStr"/>
    </row>
    <row r="20" ht="22" customHeight="1">
      <c r="A20" s="2" t="inlineStr">
        <is>
          <t>Asian Options</t>
        </is>
      </c>
      <c r="B20" s="2" t="inlineStr">
        <is>
          <t>Arithmetic average Asian pricing</t>
        </is>
      </c>
      <c r="C20" s="2" t="inlineStr"/>
      <c r="D20" s="2" t="inlineStr"/>
      <c r="E20" s="2" t="inlineStr"/>
      <c r="F20" s="2" t="inlineStr">
        <is>
          <t>Price computed using arithmetic average of spot path</t>
        </is>
      </c>
      <c r="G20" s="2" t="inlineStr"/>
      <c r="H20" s="2" t="inlineStr"/>
      <c r="I20" s="2" t="inlineStr">
        <is>
          <t>07/08/2026</t>
        </is>
      </c>
      <c r="J20" s="2" t="inlineStr"/>
    </row>
    <row r="21" ht="22" customHeight="1">
      <c r="A21" s="3" t="inlineStr">
        <is>
          <t>Asian Options</t>
        </is>
      </c>
      <c r="B21" s="3" t="inlineStr">
        <is>
          <t>Geometric average Asian pricing</t>
        </is>
      </c>
      <c r="C21" s="3" t="inlineStr"/>
      <c r="D21" s="3" t="inlineStr"/>
      <c r="E21" s="3" t="inlineStr"/>
      <c r="F21" s="3" t="inlineStr">
        <is>
          <t>Price computed using geometric average (closed-form)</t>
        </is>
      </c>
      <c r="G21" s="3" t="inlineStr"/>
      <c r="H21" s="3" t="inlineStr"/>
      <c r="I21" s="3" t="inlineStr">
        <is>
          <t>07/08/2026</t>
        </is>
      </c>
      <c r="J21" s="3" t="inlineStr"/>
    </row>
    <row r="22" ht="22" customHeight="1">
      <c r="A22" s="2" t="inlineStr">
        <is>
          <t>Autocallables</t>
        </is>
      </c>
      <c r="B22" s="2" t="inlineStr">
        <is>
          <t>Autocall trigger check</t>
        </is>
      </c>
      <c r="C22" s="2" t="inlineStr"/>
      <c r="D22" s="2" t="inlineStr"/>
      <c r="E22" s="2" t="inlineStr"/>
      <c r="F22" s="2" t="inlineStr">
        <is>
          <t>Product autocalls on observation date when barrier condition met</t>
        </is>
      </c>
      <c r="G22" s="2" t="inlineStr"/>
      <c r="H22" s="2" t="inlineStr"/>
      <c r="I22" s="2" t="inlineStr">
        <is>
          <t>07/08/2026</t>
        </is>
      </c>
      <c r="J22" s="2" t="inlineStr"/>
    </row>
    <row r="23" ht="22" customHeight="1">
      <c r="A23" s="3" t="inlineStr">
        <is>
          <t>Autocallables</t>
        </is>
      </c>
      <c r="B23" s="3" t="inlineStr">
        <is>
          <t>Coupon payment schedule</t>
        </is>
      </c>
      <c r="C23" s="3" t="inlineStr"/>
      <c r="D23" s="3" t="inlineStr"/>
      <c r="E23" s="3" t="inlineStr"/>
      <c r="F23" s="3" t="inlineStr">
        <is>
          <t>Coupon dates and amounts displayed correctly</t>
        </is>
      </c>
      <c r="G23" s="3" t="inlineStr"/>
      <c r="H23" s="3" t="inlineStr"/>
      <c r="I23" s="3" t="inlineStr">
        <is>
          <t>07/08/2026</t>
        </is>
      </c>
      <c r="J23" s="3" t="inlineStr"/>
    </row>
    <row r="24" ht="22" customHeight="1">
      <c r="A24" s="2" t="inlineStr">
        <is>
          <t>Autocallables</t>
        </is>
      </c>
      <c r="B24" s="2" t="inlineStr">
        <is>
          <t>Knock-in event simulation</t>
        </is>
      </c>
      <c r="C24" s="2" t="inlineStr"/>
      <c r="D24" s="2" t="inlineStr"/>
      <c r="E24" s="2" t="inlineStr"/>
      <c r="F24" s="2" t="inlineStr">
        <is>
          <t>Capital loss scenario shown when knock-in barrier breached at maturity</t>
        </is>
      </c>
      <c r="G24" s="2" t="inlineStr"/>
      <c r="H24" s="2" t="inlineStr"/>
      <c r="I24" s="2" t="inlineStr">
        <is>
          <t>07/08/2026</t>
        </is>
      </c>
      <c r="J24" s="2" t="inlineStr"/>
    </row>
    <row r="25" ht="22" customHeight="1">
      <c r="A25" s="3" t="inlineStr">
        <is>
          <t>Barrier Reverse Convertible</t>
        </is>
      </c>
      <c r="B25" s="3" t="inlineStr">
        <is>
          <t>Pricing &amp; payoff diagram</t>
        </is>
      </c>
      <c r="C25" s="3" t="inlineStr"/>
      <c r="D25" s="3" t="inlineStr"/>
      <c r="E25" s="3" t="inlineStr"/>
      <c r="F25" s="3" t="inlineStr">
        <is>
          <t>Payoff chart renders; price updates on parameter change</t>
        </is>
      </c>
      <c r="G25" s="3" t="inlineStr"/>
      <c r="H25" s="3" t="inlineStr"/>
      <c r="I25" s="3" t="inlineStr">
        <is>
          <t>07/08/2026</t>
        </is>
      </c>
      <c r="J25" s="3" t="inlineStr"/>
    </row>
    <row r="26" ht="22" customHeight="1">
      <c r="A26" s="2" t="inlineStr">
        <is>
          <t>Principal-Protected Note</t>
        </is>
      </c>
      <c r="B26" s="2" t="inlineStr">
        <is>
          <t>Capital protection verification</t>
        </is>
      </c>
      <c r="C26" s="2" t="inlineStr"/>
      <c r="D26" s="2" t="inlineStr"/>
      <c r="E26" s="2" t="inlineStr"/>
      <c r="F26" s="2" t="inlineStr">
        <is>
          <t>100% capital protection reflected at maturity in all scenarios</t>
        </is>
      </c>
      <c r="G26" s="2" t="inlineStr"/>
      <c r="H26" s="2" t="inlineStr"/>
      <c r="I26" s="2" t="inlineStr">
        <is>
          <t>07/08/2026</t>
        </is>
      </c>
      <c r="J26" s="2" t="inlineStr"/>
    </row>
    <row r="27" ht="22" customHeight="1">
      <c r="A27" s="3" t="inlineStr">
        <is>
          <t>Enhanced Participation Note</t>
        </is>
      </c>
      <c r="B27" s="3" t="inlineStr">
        <is>
          <t>Participation rate display</t>
        </is>
      </c>
      <c r="C27" s="3" t="inlineStr"/>
      <c r="D27" s="3" t="inlineStr"/>
      <c r="E27" s="3" t="inlineStr"/>
      <c r="F27" s="3" t="inlineStr">
        <is>
          <t>Upside participation rate shown and factored into payoff</t>
        </is>
      </c>
      <c r="G27" s="3" t="inlineStr"/>
      <c r="H27" s="3" t="inlineStr"/>
      <c r="I27" s="3" t="inlineStr">
        <is>
          <t>07/08/2026</t>
        </is>
      </c>
      <c r="J27" s="3" t="inlineStr"/>
    </row>
    <row r="28" ht="22" customHeight="1">
      <c r="A28" s="2" t="inlineStr">
        <is>
          <t>Contingent Income Note</t>
        </is>
      </c>
      <c r="B28" s="2" t="inlineStr">
        <is>
          <t>Conditional coupon logic</t>
        </is>
      </c>
      <c r="C28" s="2" t="inlineStr"/>
      <c r="D28" s="2" t="inlineStr"/>
      <c r="E28" s="2" t="inlineStr"/>
      <c r="F28" s="2" t="inlineStr">
        <is>
          <t>Coupon paid only when underlying above barrier on observation date</t>
        </is>
      </c>
      <c r="G28" s="2" t="inlineStr"/>
      <c r="H28" s="2" t="inlineStr"/>
      <c r="I28" s="2" t="inlineStr">
        <is>
          <t>07/08/2026</t>
        </is>
      </c>
      <c r="J28" s="2" t="inlineStr"/>
    </row>
    <row r="29" ht="22" customHeight="1">
      <c r="A29" s="3" t="inlineStr">
        <is>
          <t>Credit-Linked Note</t>
        </is>
      </c>
      <c r="B29" s="3" t="inlineStr">
        <is>
          <t>Credit event scenario</t>
        </is>
      </c>
      <c r="C29" s="3" t="inlineStr"/>
      <c r="D29" s="3" t="inlineStr"/>
      <c r="E29" s="3" t="inlineStr"/>
      <c r="F29" s="3" t="inlineStr">
        <is>
          <t>Principal loss shown correctly upon credit event trigger</t>
        </is>
      </c>
      <c r="G29" s="3" t="inlineStr"/>
      <c r="H29" s="3" t="inlineStr"/>
      <c r="I29" s="3" t="inlineStr">
        <is>
          <t>07/08/2026</t>
        </is>
      </c>
      <c r="J29" s="3" t="inlineStr"/>
    </row>
    <row r="30" ht="22" customHeight="1">
      <c r="A30" s="2" t="inlineStr">
        <is>
          <t>Fixed Income – Bonds</t>
        </is>
      </c>
      <c r="B30" s="2" t="inlineStr">
        <is>
          <t>Bond pricing (YTM)</t>
        </is>
      </c>
      <c r="C30" s="2" t="inlineStr"/>
      <c r="D30" s="2" t="inlineStr"/>
      <c r="E30" s="2" t="inlineStr"/>
      <c r="F30" s="2" t="inlineStr">
        <is>
          <t>Bond price calculated correctly from yield-to-maturity inputs</t>
        </is>
      </c>
      <c r="G30" s="2" t="inlineStr"/>
      <c r="H30" s="2" t="inlineStr"/>
      <c r="I30" s="2" t="inlineStr">
        <is>
          <t>07/08/2026</t>
        </is>
      </c>
      <c r="J30" s="2" t="inlineStr"/>
    </row>
    <row r="31" ht="22" customHeight="1">
      <c r="A31" s="3" t="inlineStr">
        <is>
          <t>Fixed Income – Bonds</t>
        </is>
      </c>
      <c r="B31" s="3" t="inlineStr">
        <is>
          <t>Duration &amp; Convexity</t>
        </is>
      </c>
      <c r="C31" s="3" t="inlineStr"/>
      <c r="D31" s="3" t="inlineStr"/>
      <c r="E31" s="3" t="inlineStr"/>
      <c r="F31" s="3" t="inlineStr">
        <is>
          <t>Modified duration and convexity displayed for entered bond</t>
        </is>
      </c>
      <c r="G31" s="3" t="inlineStr"/>
      <c r="H31" s="3" t="inlineStr"/>
      <c r="I31" s="3" t="inlineStr">
        <is>
          <t>07/08/2026</t>
        </is>
      </c>
      <c r="J31" s="3" t="inlineStr"/>
    </row>
    <row r="32" ht="22" customHeight="1">
      <c r="A32" s="2" t="inlineStr">
        <is>
          <t>Fixed Income – Bonds</t>
        </is>
      </c>
      <c r="B32" s="2" t="inlineStr">
        <is>
          <t>Cash flow schedule</t>
        </is>
      </c>
      <c r="C32" s="2" t="inlineStr"/>
      <c r="D32" s="2" t="inlineStr"/>
      <c r="E32" s="2" t="inlineStr"/>
      <c r="F32" s="2" t="inlineStr">
        <is>
          <t>Full coupon + principal schedule shown in table</t>
        </is>
      </c>
      <c r="G32" s="2" t="inlineStr"/>
      <c r="H32" s="2" t="inlineStr"/>
      <c r="I32" s="2" t="inlineStr">
        <is>
          <t>07/08/2026</t>
        </is>
      </c>
      <c r="J32" s="2" t="inlineStr"/>
    </row>
    <row r="33" ht="22" customHeight="1">
      <c r="A33" s="3" t="inlineStr">
        <is>
          <t>Rates – Interest Rate Swap</t>
        </is>
      </c>
      <c r="B33" s="3" t="inlineStr">
        <is>
          <t>Fixed vs floating swap pricing</t>
        </is>
      </c>
      <c r="C33" s="3" t="inlineStr"/>
      <c r="D33" s="3" t="inlineStr"/>
      <c r="E33" s="3" t="inlineStr"/>
      <c r="F33" s="3" t="inlineStr">
        <is>
          <t>NPV of swap calculated using market discount factors</t>
        </is>
      </c>
      <c r="G33" s="3" t="inlineStr"/>
      <c r="H33" s="3" t="inlineStr"/>
      <c r="I33" s="3" t="inlineStr">
        <is>
          <t>07/08/2026</t>
        </is>
      </c>
      <c r="J33" s="3" t="inlineStr"/>
    </row>
    <row r="34" ht="22" customHeight="1">
      <c r="A34" s="2" t="inlineStr">
        <is>
          <t>Rates – Swaption</t>
        </is>
      </c>
      <c r="B34" s="2" t="inlineStr">
        <is>
          <t>Swaption pricing (Black model)</t>
        </is>
      </c>
      <c r="C34" s="2" t="inlineStr"/>
      <c r="D34" s="2" t="inlineStr"/>
      <c r="E34" s="2" t="inlineStr"/>
      <c r="F34" s="2" t="inlineStr">
        <is>
          <t>Payer/receiver swaption price computed correctly</t>
        </is>
      </c>
      <c r="G34" s="2" t="inlineStr"/>
      <c r="H34" s="2" t="inlineStr"/>
      <c r="I34" s="2" t="inlineStr">
        <is>
          <t>07/08/2026</t>
        </is>
      </c>
      <c r="J34" s="2" t="inlineStr"/>
    </row>
    <row r="35" ht="22" customHeight="1">
      <c r="A35" s="3" t="inlineStr">
        <is>
          <t>Rates – Forward Rate Agreement</t>
        </is>
      </c>
      <c r="B35" s="3" t="inlineStr">
        <is>
          <t>FRA settlement value</t>
        </is>
      </c>
      <c r="C35" s="3" t="inlineStr"/>
      <c r="D35" s="3" t="inlineStr"/>
      <c r="E35" s="3" t="inlineStr"/>
      <c r="F35" s="3" t="inlineStr">
        <is>
          <t>FRA settlement amount correct at fixing date</t>
        </is>
      </c>
      <c r="G35" s="3" t="inlineStr"/>
      <c r="H35" s="3" t="inlineStr"/>
      <c r="I35" s="3" t="inlineStr">
        <is>
          <t>07/08/2026</t>
        </is>
      </c>
      <c r="J35" s="3" t="inlineStr"/>
    </row>
    <row r="36" ht="22" customHeight="1">
      <c r="A36" s="2" t="inlineStr">
        <is>
          <t>Rates – Interest Rate Futures</t>
        </is>
      </c>
      <c r="B36" s="2" t="inlineStr">
        <is>
          <t>Futures pricing</t>
        </is>
      </c>
      <c r="C36" s="2" t="inlineStr"/>
      <c r="D36" s="2" t="inlineStr"/>
      <c r="E36" s="2" t="inlineStr"/>
      <c r="F36" s="2" t="inlineStr">
        <is>
          <t>Futures price reflects cost-of-carry correctly</t>
        </is>
      </c>
      <c r="G36" s="2" t="inlineStr"/>
      <c r="H36" s="2" t="inlineStr"/>
      <c r="I36" s="2" t="inlineStr">
        <is>
          <t>07/08/2026</t>
        </is>
      </c>
      <c r="J36" s="2" t="inlineStr"/>
    </row>
    <row r="37" ht="22" customHeight="1">
      <c r="A37" s="3" t="inlineStr">
        <is>
          <t>Credit Default Swap</t>
        </is>
      </c>
      <c r="B37" s="3" t="inlineStr">
        <is>
          <t>CDS spread pricing</t>
        </is>
      </c>
      <c r="C37" s="3" t="inlineStr"/>
      <c r="D37" s="3" t="inlineStr"/>
      <c r="E37" s="3" t="inlineStr"/>
      <c r="F37" s="3" t="inlineStr">
        <is>
          <t>Par CDS spread computed from hazard rate inputs</t>
        </is>
      </c>
      <c r="G37" s="3" t="inlineStr"/>
      <c r="H37" s="3" t="inlineStr"/>
      <c r="I37" s="3" t="inlineStr">
        <is>
          <t>07/08/2026</t>
        </is>
      </c>
      <c r="J37" s="3" t="inlineStr"/>
    </row>
    <row r="38" ht="22" customHeight="1">
      <c r="A38" s="2" t="inlineStr">
        <is>
          <t>Credit Default Swap</t>
        </is>
      </c>
      <c r="B38" s="2" t="inlineStr">
        <is>
          <t>Default leg PV</t>
        </is>
      </c>
      <c r="C38" s="2" t="inlineStr"/>
      <c r="D38" s="2" t="inlineStr"/>
      <c r="E38" s="2" t="inlineStr"/>
      <c r="F38" s="2" t="inlineStr">
        <is>
          <t>Default leg present value matches expected formula output</t>
        </is>
      </c>
      <c r="G38" s="2" t="inlineStr"/>
      <c r="H38" s="2" t="inlineStr"/>
      <c r="I38" s="2" t="inlineStr">
        <is>
          <t>07/08/2026</t>
        </is>
      </c>
      <c r="J38" s="2" t="inlineStr"/>
    </row>
    <row r="39" ht="22" customHeight="1">
      <c r="A39" s="3" t="inlineStr">
        <is>
          <t>CDO</t>
        </is>
      </c>
      <c r="B39" s="3" t="inlineStr">
        <is>
          <t>Tranche attachment/detachment</t>
        </is>
      </c>
      <c r="C39" s="3" t="inlineStr"/>
      <c r="D39" s="3" t="inlineStr"/>
      <c r="E39" s="3" t="inlineStr"/>
      <c r="F39" s="3" t="inlineStr">
        <is>
          <t>Senior/mezzanine/equity tranche losses shown correctly</t>
        </is>
      </c>
      <c r="G39" s="3" t="inlineStr"/>
      <c r="H39" s="3" t="inlineStr"/>
      <c r="I39" s="3" t="inlineStr">
        <is>
          <t>07/08/2026</t>
        </is>
      </c>
      <c r="J39" s="3" t="inlineStr"/>
    </row>
    <row r="40" ht="22" customHeight="1">
      <c r="A40" s="2" t="inlineStr">
        <is>
          <t>Credit-Linked Note</t>
        </is>
      </c>
      <c r="B40" s="2" t="inlineStr">
        <is>
          <t>CLN payoff on default</t>
        </is>
      </c>
      <c r="C40" s="2" t="inlineStr"/>
      <c r="D40" s="2" t="inlineStr"/>
      <c r="E40" s="2" t="inlineStr"/>
      <c r="F40" s="2" t="inlineStr">
        <is>
          <t>Recovery-adjusted payoff shown when reference entity defaults</t>
        </is>
      </c>
      <c r="G40" s="2" t="inlineStr"/>
      <c r="H40" s="2" t="inlineStr"/>
      <c r="I40" s="2" t="inlineStr">
        <is>
          <t>07/08/2026</t>
        </is>
      </c>
      <c r="J40" s="2" t="inlineStr"/>
    </row>
    <row r="41" ht="22" customHeight="1">
      <c r="A41" s="3" t="inlineStr">
        <is>
          <t>Variance Swap</t>
        </is>
      </c>
      <c r="B41" s="3" t="inlineStr">
        <is>
          <t>Variance swap fair strike</t>
        </is>
      </c>
      <c r="C41" s="3" t="inlineStr"/>
      <c r="D41" s="3" t="inlineStr"/>
      <c r="E41" s="3" t="inlineStr"/>
      <c r="F41" s="3" t="inlineStr">
        <is>
          <t>Fair variance strike calculated from vol surface inputs</t>
        </is>
      </c>
      <c r="G41" s="3" t="inlineStr"/>
      <c r="H41" s="3" t="inlineStr"/>
      <c r="I41" s="3" t="inlineStr">
        <is>
          <t>07/08/2026</t>
        </is>
      </c>
      <c r="J41" s="3" t="inlineStr"/>
    </row>
    <row r="42" ht="22" customHeight="1">
      <c r="A42" s="2" t="inlineStr">
        <is>
          <t>Volatility Surface</t>
        </is>
      </c>
      <c r="B42" s="2" t="inlineStr">
        <is>
          <t>Vol surface render</t>
        </is>
      </c>
      <c r="C42" s="2" t="inlineStr"/>
      <c r="D42" s="2" t="inlineStr"/>
      <c r="E42" s="2" t="inlineStr"/>
      <c r="F42" s="2" t="inlineStr">
        <is>
          <t>3-D vol surface chart renders without error</t>
        </is>
      </c>
      <c r="G42" s="2" t="inlineStr"/>
      <c r="H42" s="2" t="inlineStr"/>
      <c r="I42" s="2" t="inlineStr">
        <is>
          <t>07/08/2026</t>
        </is>
      </c>
      <c r="J42" s="2" t="inlineStr"/>
    </row>
    <row r="43" ht="22" customHeight="1">
      <c r="A43" s="3" t="inlineStr">
        <is>
          <t>Volatility Surface</t>
        </is>
      </c>
      <c r="B43" s="3" t="inlineStr">
        <is>
          <t>Yahoo Finance market data load</t>
        </is>
      </c>
      <c r="C43" s="3" t="inlineStr"/>
      <c r="D43" s="3" t="inlineStr"/>
      <c r="E43" s="3" t="inlineStr"/>
      <c r="F43" s="3" t="inlineStr">
        <is>
          <t>Implied vols loaded from Yahoo Finance for a valid ticker</t>
        </is>
      </c>
      <c r="G43" s="3" t="inlineStr"/>
      <c r="H43" s="3" t="inlineStr"/>
      <c r="I43" s="3" t="inlineStr">
        <is>
          <t>07/08/2026</t>
        </is>
      </c>
      <c r="J43" s="3" t="inlineStr"/>
    </row>
    <row r="44" ht="22" customHeight="1">
      <c r="A44" s="2" t="inlineStr">
        <is>
          <t>Prepayment Products</t>
        </is>
      </c>
      <c r="B44" s="2" t="inlineStr">
        <is>
          <t>Prepayment speed (CPR/PSA)</t>
        </is>
      </c>
      <c r="C44" s="2" t="inlineStr"/>
      <c r="D44" s="2" t="inlineStr"/>
      <c r="E44" s="2" t="inlineStr"/>
      <c r="F44" s="2" t="inlineStr">
        <is>
          <t>CPR/PSA assumptions fed into cash flow model correctly</t>
        </is>
      </c>
      <c r="G44" s="2" t="inlineStr"/>
      <c r="H44" s="2" t="inlineStr"/>
      <c r="I44" s="2" t="inlineStr">
        <is>
          <t>07/08/2026</t>
        </is>
      </c>
      <c r="J44" s="2" t="inlineStr"/>
    </row>
    <row r="45" ht="22" customHeight="1">
      <c r="A45" s="3" t="inlineStr">
        <is>
          <t>Prepayment Products</t>
        </is>
      </c>
      <c r="B45" s="3" t="inlineStr">
        <is>
          <t>Prepayment calculator output</t>
        </is>
      </c>
      <c r="C45" s="3" t="inlineStr"/>
      <c r="D45" s="3" t="inlineStr"/>
      <c r="E45" s="3" t="inlineStr"/>
      <c r="F45" s="3" t="inlineStr">
        <is>
          <t>Monthly principal paydown schedule generated</t>
        </is>
      </c>
      <c r="G45" s="3" t="inlineStr"/>
      <c r="H45" s="3" t="inlineStr"/>
      <c r="I45" s="3" t="inlineStr">
        <is>
          <t>07/08/2026</t>
        </is>
      </c>
      <c r="J45" s="3" t="inlineStr"/>
    </row>
    <row r="46" ht="22" customHeight="1">
      <c r="A46" s="2" t="inlineStr">
        <is>
          <t>UI/UX</t>
        </is>
      </c>
      <c r="B46" s="2" t="inlineStr">
        <is>
          <t>Consistent styling across products</t>
        </is>
      </c>
      <c r="C46" s="2" t="inlineStr"/>
      <c r="D46" s="2" t="inlineStr"/>
      <c r="E46" s="2" t="inlineStr"/>
      <c r="F46" s="2" t="inlineStr">
        <is>
          <t>All product pages use the same component library / colour scheme</t>
        </is>
      </c>
      <c r="G46" s="2" t="inlineStr"/>
      <c r="H46" s="2" t="inlineStr"/>
      <c r="I46" s="2" t="inlineStr">
        <is>
          <t>07/08/2026</t>
        </is>
      </c>
      <c r="J46" s="2" t="inlineStr"/>
    </row>
    <row r="47" ht="22" customHeight="1">
      <c r="A47" s="3" t="inlineStr">
        <is>
          <t>UI/UX</t>
        </is>
      </c>
      <c r="B47" s="3" t="inlineStr">
        <is>
          <t>Export / Download report</t>
        </is>
      </c>
      <c r="C47" s="3" t="inlineStr"/>
      <c r="D47" s="3" t="inlineStr"/>
      <c r="E47" s="3" t="inlineStr"/>
      <c r="F47" s="3" t="inlineStr">
        <is>
          <t>Results can be exported to PDF or CSV</t>
        </is>
      </c>
      <c r="G47" s="3" t="inlineStr"/>
      <c r="H47" s="3" t="inlineStr"/>
      <c r="I47" s="3" t="inlineStr">
        <is>
          <t>07/08/2026</t>
        </is>
      </c>
      <c r="J47" s="3" t="inlineStr"/>
    </row>
    <row r="48" ht="22" customHeight="1">
      <c r="A48" s="2" t="inlineStr">
        <is>
          <t>UI/UX</t>
        </is>
      </c>
      <c r="B48" s="2" t="inlineStr">
        <is>
          <t>Error handling – invalid inputs</t>
        </is>
      </c>
      <c r="C48" s="2" t="inlineStr"/>
      <c r="D48" s="2" t="inlineStr"/>
      <c r="E48" s="2" t="inlineStr"/>
      <c r="F48" s="2" t="inlineStr">
        <is>
          <t>User-friendly error messages shown for invalid inputs</t>
        </is>
      </c>
      <c r="G48" s="2" t="inlineStr"/>
      <c r="H48" s="2" t="inlineStr"/>
      <c r="I48" s="2" t="inlineStr">
        <is>
          <t>07/08/2026</t>
        </is>
      </c>
      <c r="J48" s="2" t="inlineStr"/>
    </row>
    <row r="49" ht="22" customHeight="1">
      <c r="A49" s="3" t="inlineStr">
        <is>
          <t>UI/UX</t>
        </is>
      </c>
      <c r="B49" s="3" t="inlineStr">
        <is>
          <t>Page load performance</t>
        </is>
      </c>
      <c r="C49" s="3" t="inlineStr"/>
      <c r="D49" s="3" t="inlineStr"/>
      <c r="E49" s="3" t="inlineStr"/>
      <c r="F49" s="3" t="inlineStr">
        <is>
          <t>Each product page loads within 3 seconds on standard connection</t>
        </is>
      </c>
      <c r="G49" s="3" t="inlineStr"/>
      <c r="H49" s="3" t="inlineStr"/>
      <c r="I49" s="3" t="inlineStr">
        <is>
          <t>07/08/2026</t>
        </is>
      </c>
      <c r="J49" s="3" t="inlineStr"/>
    </row>
  </sheetData>
  <autoFilter ref="A1:J1"/>
  <dataValidations count="2">
    <dataValidation sqref="C2:C1000" showDropDown="0" showInputMessage="0" showErrorMessage="0" allowBlank="1" type="list">
      <formula1>"Working,Partially Working,Not Working,Bug"</formula1>
    </dataValidation>
    <dataValidation sqref="D2:D10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38" customWidth="1" min="4" max="4"/>
  </cols>
  <sheetData>
    <row r="1" ht="35" customHeight="1">
      <c r="A1" s="4" t="inlineStr">
        <is>
          <t>UAT Testing – Summary Dashboard</t>
        </is>
      </c>
    </row>
    <row r="2" ht="18" customHeight="1">
      <c r="A2" s="5" t="inlineStr">
        <is>
          <t>Auto-updated from "UAT Testing" sheet  |  Total test cases pre-loaded: 48</t>
        </is>
      </c>
    </row>
    <row r="4" ht="24" customHeight="1">
      <c r="A4" s="6" t="inlineStr">
        <is>
          <t>Status</t>
        </is>
      </c>
      <c r="B4" s="6" t="inlineStr">
        <is>
          <t>Count</t>
        </is>
      </c>
      <c r="C4" s="6" t="inlineStr">
        <is>
          <t>Pass Rate</t>
        </is>
      </c>
      <c r="D4" s="6" t="inlineStr">
        <is>
          <t>Description</t>
        </is>
      </c>
    </row>
    <row r="5" ht="22" customHeight="1">
      <c r="A5" s="7" t="inlineStr">
        <is>
          <t>Working</t>
        </is>
      </c>
      <c r="B5" s="8">
        <f>COUNTIF('UAT Testing'!C:C,"Working")</f>
        <v/>
      </c>
      <c r="C5" s="9" t="n"/>
      <c r="D5" s="10" t="inlineStr">
        <is>
          <t>Fully functional – no issues</t>
        </is>
      </c>
    </row>
    <row r="6" ht="22" customHeight="1">
      <c r="A6" s="11" t="inlineStr">
        <is>
          <t>Partially Working</t>
        </is>
      </c>
      <c r="B6" s="8">
        <f>COUNTIF('UAT Testing'!C:C,"Partially Working")</f>
        <v/>
      </c>
      <c r="C6" s="9" t="n"/>
      <c r="D6" s="10" t="inlineStr">
        <is>
          <t>Functional with minor issues</t>
        </is>
      </c>
    </row>
    <row r="7" ht="22" customHeight="1">
      <c r="A7" s="12" t="inlineStr">
        <is>
          <t>Not Working</t>
        </is>
      </c>
      <c r="B7" s="8">
        <f>COUNTIF('UAT Testing'!C:C,"Not Working")</f>
        <v/>
      </c>
      <c r="C7" s="9" t="n"/>
      <c r="D7" s="10" t="inlineStr">
        <is>
          <t>Blocking – must fix before release</t>
        </is>
      </c>
    </row>
    <row r="8" ht="22" customHeight="1">
      <c r="A8" s="12" t="inlineStr">
        <is>
          <t>Bug</t>
        </is>
      </c>
      <c r="B8" s="8">
        <f>COUNTIF('UAT Testing'!C:C,"Bug")</f>
        <v/>
      </c>
      <c r="C8" s="9" t="n"/>
      <c r="D8" s="10" t="inlineStr">
        <is>
          <t>Defect logged in bug tracker</t>
        </is>
      </c>
    </row>
    <row r="9" ht="22" customHeight="1">
      <c r="A9" s="13" t="inlineStr">
        <is>
          <t>(Not Tested)</t>
        </is>
      </c>
      <c r="B9" s="8">
        <f>COUNTBLANK('UAT Testing'!C2:C1000)</f>
        <v/>
      </c>
      <c r="C9" s="9" t="n"/>
      <c r="D9" s="10" t="inlineStr">
        <is>
          <t>Status cell left blank</t>
        </is>
      </c>
    </row>
    <row r="10" ht="22" customHeight="1">
      <c r="A10" s="14" t="inlineStr">
        <is>
          <t>Total Tests</t>
        </is>
      </c>
      <c r="B10" s="15">
        <f>SUM(B5:B9)</f>
        <v/>
      </c>
      <c r="C10" s="9" t="n"/>
      <c r="D10" s="9" t="n"/>
    </row>
    <row r="11" ht="22" customHeight="1">
      <c r="A11" s="14" t="inlineStr">
        <is>
          <t>Pass Rate (Working only)</t>
        </is>
      </c>
      <c r="B11" s="16">
        <f>IFERROR(B5/B10,"N/A")</f>
        <v/>
      </c>
      <c r="C11" s="9" t="n"/>
      <c r="D11" s="9" t="inlineStr">
        <is>
          <t>Working ÷ Total Tests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2026-08-07T11:32:35Z</dcterms:created>
  <dcterms:modified xsi:type="dcterms:W3CDTF">2026-08-07T11:32:35Z</dcterms:modified>
</cp:coreProperties>
</file>