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 UAT Tracker" sheetId="1" state="visible" r:id="rId1"/>
    <sheet name="Testing Summary" sheetId="2" state="visible" r:id="rId2"/>
  </sheets>
  <definedNames>
    <definedName name="_xlnm._FilterDatabase" localSheetId="0" hidden="1">'Main UAT Tracker'!$A$1:$L$41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1" fillId="2" borderId="1" applyAlignment="1" pivotButton="0" quotePrefix="0" xfId="0">
      <alignment horizontal="center"/>
    </xf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8" customWidth="1" min="4" max="4"/>
    <col width="12" customWidth="1" min="5" max="5"/>
    <col width="34" customWidth="1" min="6" max="6"/>
    <col width="34" customWidth="1" min="7" max="7"/>
    <col width="34" customWidth="1" min="8" max="8"/>
    <col width="28" customWidth="1" min="9" max="9"/>
    <col width="14" customWidth="1" min="10" max="10"/>
    <col width="18" customWidth="1" min="11" max="11"/>
    <col width="18" customWidth="1" min="12" max="12"/>
  </cols>
  <sheetData>
    <row r="1">
      <c r="A1" s="1" t="inlineStr">
        <is>
          <t>Product Name</t>
        </is>
      </c>
      <c r="B1" s="1" t="inlineStr">
        <is>
          <t>Feature/Workflow Tested</t>
        </is>
      </c>
      <c r="C1" s="1" t="inlineStr">
        <is>
          <t>Test Case ID</t>
        </is>
      </c>
      <c r="D1" s="1" t="inlineStr">
        <is>
          <t>Status</t>
        </is>
      </c>
      <c r="E1" s="1" t="inlineStr">
        <is>
          <t>Severity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Issue Description</t>
        </is>
      </c>
      <c r="I1" s="1" t="inlineStr">
        <is>
          <t>Screenshots/Notes</t>
        </is>
      </c>
      <c r="J1" s="1" t="inlineStr">
        <is>
          <t>Date Tested</t>
        </is>
      </c>
      <c r="K1" s="1" t="inlineStr">
        <is>
          <t>Tester Name</t>
        </is>
      </c>
      <c r="L1" s="1" t="inlineStr">
        <is>
          <t>Resolution Status</t>
        </is>
      </c>
    </row>
    <row r="2">
      <c r="A2" s="2" t="inlineStr">
        <is>
          <t>Authentication</t>
        </is>
      </c>
      <c r="B2" s="2" t="inlineStr">
        <is>
          <t>Login</t>
        </is>
      </c>
      <c r="C2" s="2" t="inlineStr">
        <is>
          <t>UAT-001</t>
        </is>
      </c>
      <c r="D2" s="2" t="inlineStr"/>
      <c r="E2" s="2" t="inlineStr">
        <is>
          <t>Critical</t>
        </is>
      </c>
      <c r="F2" s="3" t="inlineStr">
        <is>
          <t>User can log in with valid credentials</t>
        </is>
      </c>
      <c r="G2" s="3" t="inlineStr"/>
      <c r="H2" s="3" t="inlineStr"/>
      <c r="I2" s="3" t="inlineStr"/>
      <c r="J2" s="2" t="inlineStr"/>
      <c r="K2" s="2" t="inlineStr"/>
      <c r="L2" s="2" t="inlineStr">
        <is>
          <t>Open</t>
        </is>
      </c>
    </row>
    <row r="3">
      <c r="A3" s="2" t="inlineStr">
        <is>
          <t>Authentication</t>
        </is>
      </c>
      <c r="B3" s="2" t="inlineStr">
        <is>
          <t>Registration + Terms Acceptance</t>
        </is>
      </c>
      <c r="C3" s="2" t="inlineStr">
        <is>
          <t>UAT-002</t>
        </is>
      </c>
      <c r="D3" s="2" t="inlineStr"/>
      <c r="E3" s="2" t="inlineStr">
        <is>
          <t>Critical</t>
        </is>
      </c>
      <c r="F3" s="3" t="inlineStr">
        <is>
          <t>User can register only after accepting terms</t>
        </is>
      </c>
      <c r="G3" s="3" t="inlineStr"/>
      <c r="H3" s="3" t="inlineStr"/>
      <c r="I3" s="3" t="inlineStr"/>
      <c r="J3" s="2" t="inlineStr"/>
      <c r="K3" s="2" t="inlineStr"/>
      <c r="L3" s="2" t="inlineStr">
        <is>
          <t>Open</t>
        </is>
      </c>
    </row>
    <row r="4">
      <c r="A4" s="2" t="inlineStr">
        <is>
          <t>European Options</t>
        </is>
      </c>
      <c r="B4" s="2" t="inlineStr">
        <is>
          <t>Free tier preview (unauthenticated)</t>
        </is>
      </c>
      <c r="C4" s="2" t="inlineStr">
        <is>
          <t>UAT-003</t>
        </is>
      </c>
      <c r="D4" s="2" t="inlineStr"/>
      <c r="E4" s="2" t="inlineStr">
        <is>
          <t>High</t>
        </is>
      </c>
      <c r="F4" s="3" t="inlineStr">
        <is>
          <t>Preview is available without login</t>
        </is>
      </c>
      <c r="G4" s="3" t="inlineStr"/>
      <c r="H4" s="3" t="inlineStr"/>
      <c r="I4" s="3" t="inlineStr"/>
      <c r="J4" s="2" t="inlineStr"/>
      <c r="K4" s="2" t="inlineStr"/>
      <c r="L4" s="2" t="inlineStr">
        <is>
          <t>Open</t>
        </is>
      </c>
    </row>
    <row r="5">
      <c r="A5" s="2" t="inlineStr">
        <is>
          <t>American Options</t>
        </is>
      </c>
      <c r="B5" s="2" t="inlineStr">
        <is>
          <t>Gated access check</t>
        </is>
      </c>
      <c r="C5" s="2" t="inlineStr">
        <is>
          <t>UAT-004</t>
        </is>
      </c>
      <c r="D5" s="2" t="inlineStr"/>
      <c r="E5" s="2" t="inlineStr">
        <is>
          <t>High</t>
        </is>
      </c>
      <c r="F5" s="3" t="inlineStr">
        <is>
          <t>Access requires authenticated session</t>
        </is>
      </c>
      <c r="G5" s="3" t="inlineStr"/>
      <c r="H5" s="3" t="inlineStr"/>
      <c r="I5" s="3" t="inlineStr"/>
      <c r="J5" s="2" t="inlineStr"/>
      <c r="K5" s="2" t="inlineStr"/>
      <c r="L5" s="2" t="inlineStr">
        <is>
          <t>Open</t>
        </is>
      </c>
    </row>
    <row r="6">
      <c r="A6" s="2" t="inlineStr">
        <is>
          <t>Barrier Options</t>
        </is>
      </c>
      <c r="B6" s="2" t="inlineStr">
        <is>
          <t>Pricing calculation</t>
        </is>
      </c>
      <c r="C6" s="2" t="inlineStr">
        <is>
          <t>UAT-005</t>
        </is>
      </c>
      <c r="D6" s="2" t="inlineStr"/>
      <c r="E6" s="2" t="inlineStr">
        <is>
          <t>Critical</t>
        </is>
      </c>
      <c r="F6" s="3" t="inlineStr">
        <is>
          <t>Pricing returns result for valid input</t>
        </is>
      </c>
      <c r="G6" s="3" t="inlineStr"/>
      <c r="H6" s="3" t="inlineStr"/>
      <c r="I6" s="3" t="inlineStr"/>
      <c r="J6" s="2" t="inlineStr"/>
      <c r="K6" s="2" t="inlineStr"/>
      <c r="L6" s="2" t="inlineStr">
        <is>
          <t>Open</t>
        </is>
      </c>
    </row>
    <row r="7">
      <c r="A7" s="2" t="inlineStr">
        <is>
          <t>Autocallables</t>
        </is>
      </c>
      <c r="B7" s="2" t="inlineStr">
        <is>
          <t>Pricing/model execution</t>
        </is>
      </c>
      <c r="C7" s="2" t="inlineStr">
        <is>
          <t>UAT-006</t>
        </is>
      </c>
      <c r="D7" s="2" t="inlineStr"/>
      <c r="E7" s="2" t="inlineStr">
        <is>
          <t>Critical</t>
        </is>
      </c>
      <c r="F7" s="3" t="inlineStr">
        <is>
          <t>Workflow runs and returns output</t>
        </is>
      </c>
      <c r="G7" s="3" t="inlineStr"/>
      <c r="H7" s="3" t="inlineStr"/>
      <c r="I7" s="3" t="inlineStr"/>
      <c r="J7" s="2" t="inlineStr"/>
      <c r="K7" s="2" t="inlineStr"/>
      <c r="L7" s="2" t="inlineStr">
        <is>
          <t>Open</t>
        </is>
      </c>
    </row>
    <row r="8">
      <c r="A8" s="2" t="inlineStr">
        <is>
          <t>Structured Products</t>
        </is>
      </c>
      <c r="B8" s="2" t="inlineStr">
        <is>
          <t>New products workflow validation</t>
        </is>
      </c>
      <c r="C8" s="2" t="inlineStr">
        <is>
          <t>UAT-007</t>
        </is>
      </c>
      <c r="D8" s="2" t="inlineStr"/>
      <c r="E8" s="2" t="inlineStr">
        <is>
          <t>High</t>
        </is>
      </c>
      <c r="F8" s="3" t="inlineStr">
        <is>
          <t>New structured products load and execute</t>
        </is>
      </c>
      <c r="G8" s="3" t="inlineStr"/>
      <c r="H8" s="3" t="inlineStr"/>
      <c r="I8" s="3" t="inlineStr"/>
      <c r="J8" s="2" t="inlineStr"/>
      <c r="K8" s="2" t="inlineStr"/>
      <c r="L8" s="2" t="inlineStr">
        <is>
          <t>Open</t>
        </is>
      </c>
    </row>
    <row r="9">
      <c r="A9" s="2" t="inlineStr">
        <is>
          <t>Navigation</t>
        </is>
      </c>
      <c r="B9" s="2" t="inlineStr">
        <is>
          <t>Accordion navigation structure</t>
        </is>
      </c>
      <c r="C9" s="2" t="inlineStr">
        <is>
          <t>UAT-008</t>
        </is>
      </c>
      <c r="D9" s="2" t="inlineStr"/>
      <c r="E9" s="2" t="inlineStr">
        <is>
          <t>High</t>
        </is>
      </c>
      <c r="F9" s="3" t="inlineStr">
        <is>
          <t>Navigation expands/collapses and routes correctly</t>
        </is>
      </c>
      <c r="G9" s="3" t="inlineStr"/>
      <c r="H9" s="3" t="inlineStr"/>
      <c r="I9" s="3" t="inlineStr"/>
      <c r="J9" s="2" t="inlineStr"/>
      <c r="K9" s="2" t="inlineStr"/>
      <c r="L9" s="2" t="inlineStr">
        <is>
          <t>Open</t>
        </is>
      </c>
    </row>
    <row r="10">
      <c r="A10" s="2" t="inlineStr">
        <is>
          <t>Market Data</t>
        </is>
      </c>
      <c r="B10" s="2" t="inlineStr">
        <is>
          <t>Reference data loading</t>
        </is>
      </c>
      <c r="C10" s="2" t="inlineStr">
        <is>
          <t>UAT-009</t>
        </is>
      </c>
      <c r="D10" s="2" t="inlineStr"/>
      <c r="E10" s="2" t="inlineStr">
        <is>
          <t>High</t>
        </is>
      </c>
      <c r="F10" s="3" t="inlineStr">
        <is>
          <t>Market data loads successfully</t>
        </is>
      </c>
      <c r="G10" s="3" t="inlineStr"/>
      <c r="H10" s="3" t="inlineStr"/>
      <c r="I10" s="3" t="inlineStr"/>
      <c r="J10" s="2" t="inlineStr"/>
      <c r="K10" s="2" t="inlineStr"/>
      <c r="L10" s="2" t="inlineStr">
        <is>
          <t>Open</t>
        </is>
      </c>
    </row>
    <row r="11">
      <c r="A11" s="2" t="inlineStr">
        <is>
          <t>UI Consistency</t>
        </is>
      </c>
      <c r="B11" s="2" t="inlineStr">
        <is>
          <t>Cross-product consistency</t>
        </is>
      </c>
      <c r="C11" s="2" t="inlineStr">
        <is>
          <t>UAT-010</t>
        </is>
      </c>
      <c r="D11" s="2" t="inlineStr"/>
      <c r="E11" s="2" t="inlineStr">
        <is>
          <t>Medium</t>
        </is>
      </c>
      <c r="F11" s="3" t="inlineStr">
        <is>
          <t>UI looks/behaves consistently across products</t>
        </is>
      </c>
      <c r="G11" s="3" t="inlineStr"/>
      <c r="H11" s="3" t="inlineStr"/>
      <c r="I11" s="3" t="inlineStr"/>
      <c r="J11" s="2" t="inlineStr"/>
      <c r="K11" s="2" t="inlineStr"/>
      <c r="L11" s="2" t="inlineStr">
        <is>
          <t>Open</t>
        </is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</sheetData>
  <autoFilter ref="A1:L41"/>
  <dataValidations count="3">
    <dataValidation sqref="D2:D41" showDropDown="0" showInputMessage="0" showErrorMessage="0" allowBlank="1" type="list">
      <formula1>"Working,Partially Working,Not Working,Bug"</formula1>
    </dataValidation>
    <dataValidation sqref="E2:E41" showDropDown="0" showInputMessage="0" showErrorMessage="0" allowBlank="1" type="list">
      <formula1>"Critical,High,Medium,Low"</formula1>
    </dataValidation>
    <dataValidation sqref="L2:L41" showDropDown="0" showInputMessage="0" showErrorMessage="0" allowBlank="1" type="list">
      <formula1>"Open,In Progress,Resolved,Blocked,Deferred,N/A"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4" t="inlineStr">
        <is>
          <t>Testing Summary</t>
        </is>
      </c>
    </row>
    <row r="3">
      <c r="A3" s="5" t="inlineStr">
        <is>
          <t>Metric</t>
        </is>
      </c>
      <c r="B3" s="5" t="inlineStr">
        <is>
          <t>Value</t>
        </is>
      </c>
    </row>
    <row r="4">
      <c r="A4" s="2" t="inlineStr">
        <is>
          <t>Working</t>
        </is>
      </c>
      <c r="B4" s="2">
        <f>COUNTIF('Main UAT Tracker'!$D:$D,"Working")</f>
        <v/>
      </c>
    </row>
    <row r="5">
      <c r="A5" s="2" t="inlineStr">
        <is>
          <t>Partially Working</t>
        </is>
      </c>
      <c r="B5" s="2">
        <f>COUNTIF('Main UAT Tracker'!$D:$D,"Partially Working")</f>
        <v/>
      </c>
    </row>
    <row r="6">
      <c r="A6" s="2" t="inlineStr">
        <is>
          <t>Not Working</t>
        </is>
      </c>
      <c r="B6" s="2">
        <f>COUNTIF('Main UAT Tracker'!$D:$D,"Not Working")</f>
        <v/>
      </c>
    </row>
    <row r="7">
      <c r="A7" s="2" t="inlineStr">
        <is>
          <t>Bug</t>
        </is>
      </c>
      <c r="B7" s="2">
        <f>COUNTIF('Main UAT Tracker'!$D:$D,"Bug")</f>
        <v/>
      </c>
    </row>
    <row r="8">
      <c r="A8" s="2" t="inlineStr">
        <is>
          <t>Total Test Cases</t>
        </is>
      </c>
      <c r="B8" s="2">
        <f>SUM(B4:B7)</f>
        <v/>
      </c>
    </row>
    <row r="9">
      <c r="A9" s="2" t="inlineStr">
        <is>
          <t>Completion % (Working + Partially)</t>
        </is>
      </c>
      <c r="B9" s="6">
        <f>IF(B8=0,0,(B4+B5)/B8)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2026-08-07T09:43:19Z</dcterms:created>
  <dcterms:modified xsi:type="dcterms:W3CDTF">2026-08-07T09:43:19Z</dcterms:modified>
</cp:coreProperties>
</file>